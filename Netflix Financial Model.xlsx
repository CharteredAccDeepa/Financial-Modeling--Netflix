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shr\Desktop\"/>
    </mc:Choice>
  </mc:AlternateContent>
  <xr:revisionPtr revIDLastSave="0" documentId="13_ncr:1_{CF3A9C21-C70E-44F8-A38E-605C2EDF3331}" xr6:coauthVersionLast="47" xr6:coauthVersionMax="47" xr10:uidLastSave="{00000000-0000-0000-0000-000000000000}"/>
  <bookViews>
    <workbookView xWindow="-110" yWindow="-110" windowWidth="19420" windowHeight="10300" firstSheet="4" activeTab="9" xr2:uid="{00000000-000D-0000-FFFF-FFFF00000000}"/>
  </bookViews>
  <sheets>
    <sheet name="P&amp;L Input" sheetId="1" r:id="rId1"/>
    <sheet name="Balance Sheet Input" sheetId="2" r:id="rId2"/>
    <sheet name="Revenue Modelling" sheetId="3" r:id="rId3"/>
    <sheet name="Other Items" sheetId="4" r:id="rId4"/>
    <sheet name="Schedules" sheetId="5" r:id="rId5"/>
    <sheet name="P&amp;L" sheetId="6" r:id="rId6"/>
    <sheet name="Balance Sheet" sheetId="7" r:id="rId7"/>
    <sheet name="Cashflow Statement" sheetId="8" r:id="rId8"/>
    <sheet name="WACC" sheetId="9" r:id="rId9"/>
    <sheet name="DCF"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10" l="1"/>
  <c r="H23" i="4"/>
  <c r="G23" i="4"/>
  <c r="F23" i="4"/>
  <c r="H26" i="4"/>
  <c r="G26" i="4"/>
  <c r="F26" i="4"/>
  <c r="J11" i="7"/>
  <c r="J10" i="7"/>
  <c r="J9" i="7"/>
  <c r="J7" i="7"/>
  <c r="B17" i="10"/>
  <c r="E5" i="10"/>
  <c r="D5" i="10"/>
  <c r="C5" i="10"/>
  <c r="B5" i="10"/>
  <c r="B18" i="9"/>
  <c r="B16" i="9"/>
  <c r="B15" i="9"/>
  <c r="B13" i="9"/>
  <c r="B12" i="9"/>
  <c r="E28" i="8"/>
  <c r="H7" i="8"/>
  <c r="G7" i="8"/>
  <c r="F7" i="8"/>
  <c r="E7" i="8"/>
  <c r="H15" i="8"/>
  <c r="G15" i="8"/>
  <c r="F15" i="8"/>
  <c r="E15" i="8"/>
  <c r="H23" i="7"/>
  <c r="G23" i="7"/>
  <c r="F23" i="7"/>
  <c r="E23" i="7"/>
  <c r="H31" i="7"/>
  <c r="C36" i="7"/>
  <c r="B36" i="7"/>
  <c r="H24" i="8"/>
  <c r="G24" i="8"/>
  <c r="F24" i="8"/>
  <c r="H13" i="8"/>
  <c r="G13" i="8"/>
  <c r="F13" i="8"/>
  <c r="E13" i="8"/>
  <c r="H11" i="8"/>
  <c r="G11" i="8"/>
  <c r="F11" i="8"/>
  <c r="E11" i="8"/>
  <c r="H10" i="7"/>
  <c r="G10" i="7"/>
  <c r="F10" i="7"/>
  <c r="E10" i="7"/>
  <c r="H19" i="8"/>
  <c r="G19" i="8"/>
  <c r="F19" i="8"/>
  <c r="E19" i="8"/>
  <c r="H9" i="7"/>
  <c r="G9" i="7"/>
  <c r="F9" i="7"/>
  <c r="E9" i="7"/>
  <c r="H18" i="8"/>
  <c r="G18" i="8"/>
  <c r="F18" i="8"/>
  <c r="E18" i="8"/>
  <c r="H17" i="8"/>
  <c r="G17" i="8"/>
  <c r="F17" i="8"/>
  <c r="E17" i="8"/>
  <c r="F30" i="7"/>
  <c r="G30" i="7" s="1"/>
  <c r="E30" i="7"/>
  <c r="H23" i="8"/>
  <c r="G23" i="8"/>
  <c r="F23" i="8"/>
  <c r="E23" i="8"/>
  <c r="H5" i="8"/>
  <c r="G5" i="8"/>
  <c r="F5" i="8"/>
  <c r="E5" i="8"/>
  <c r="H9" i="8"/>
  <c r="G9" i="8"/>
  <c r="F9" i="8"/>
  <c r="E9" i="8"/>
  <c r="H8" i="8"/>
  <c r="G8" i="8"/>
  <c r="F8" i="8"/>
  <c r="E8" i="8"/>
  <c r="H10" i="8"/>
  <c r="H22" i="8"/>
  <c r="G22" i="8"/>
  <c r="F22" i="8"/>
  <c r="E22" i="8"/>
  <c r="G10" i="8"/>
  <c r="F10" i="8"/>
  <c r="H6" i="8"/>
  <c r="G6" i="8"/>
  <c r="F6" i="8"/>
  <c r="E6" i="8"/>
  <c r="H4" i="8"/>
  <c r="G4" i="8"/>
  <c r="F4" i="8"/>
  <c r="E4" i="8"/>
  <c r="F19" i="7"/>
  <c r="H7" i="7"/>
  <c r="G7" i="7"/>
  <c r="F7" i="7"/>
  <c r="E7" i="7"/>
  <c r="H17" i="7"/>
  <c r="G17" i="7"/>
  <c r="F17" i="7"/>
  <c r="E17" i="7"/>
  <c r="H19" i="6"/>
  <c r="G19" i="6"/>
  <c r="F19" i="6"/>
  <c r="E19" i="6"/>
  <c r="H20" i="6"/>
  <c r="G20" i="6"/>
  <c r="F20" i="6"/>
  <c r="E20" i="6"/>
  <c r="D20" i="6"/>
  <c r="C20" i="6"/>
  <c r="B20" i="6"/>
  <c r="D19" i="6"/>
  <c r="C19" i="6"/>
  <c r="B19" i="6"/>
  <c r="D17" i="6"/>
  <c r="C17" i="6"/>
  <c r="B17" i="6"/>
  <c r="H16" i="6"/>
  <c r="G16" i="6"/>
  <c r="F16" i="6"/>
  <c r="E16" i="6"/>
  <c r="D16" i="6"/>
  <c r="C16" i="6"/>
  <c r="B16" i="6"/>
  <c r="G4" i="4"/>
  <c r="F4" i="4"/>
  <c r="E4" i="4"/>
  <c r="H4" i="4"/>
  <c r="D4" i="4"/>
  <c r="C4" i="4"/>
  <c r="B4" i="4"/>
  <c r="B5" i="4" s="1"/>
  <c r="H12" i="6"/>
  <c r="G12" i="6"/>
  <c r="F12" i="6"/>
  <c r="E12" i="6"/>
  <c r="D12" i="6"/>
  <c r="C12" i="6"/>
  <c r="B12" i="6"/>
  <c r="H11" i="6"/>
  <c r="G11" i="6"/>
  <c r="F11" i="6"/>
  <c r="E11" i="6"/>
  <c r="D11" i="6"/>
  <c r="C11" i="6"/>
  <c r="B11" i="6"/>
  <c r="H14" i="6"/>
  <c r="G14" i="6"/>
  <c r="F14" i="6"/>
  <c r="E14" i="6"/>
  <c r="D14" i="6"/>
  <c r="C14" i="6"/>
  <c r="B14" i="6"/>
  <c r="H10" i="6"/>
  <c r="G10" i="6"/>
  <c r="F10" i="6"/>
  <c r="E10" i="6"/>
  <c r="D10" i="6"/>
  <c r="C10" i="6"/>
  <c r="B10" i="6"/>
  <c r="D7" i="6"/>
  <c r="C7" i="6"/>
  <c r="H5" i="6"/>
  <c r="H6" i="6" s="1"/>
  <c r="G5" i="6"/>
  <c r="G6" i="6" s="1"/>
  <c r="F5" i="6"/>
  <c r="F6" i="6" s="1"/>
  <c r="E5" i="6"/>
  <c r="D5" i="6"/>
  <c r="C5" i="6"/>
  <c r="B5" i="6"/>
  <c r="H4" i="6"/>
  <c r="G4" i="6"/>
  <c r="F4" i="6"/>
  <c r="E4" i="6"/>
  <c r="D4" i="6"/>
  <c r="C4" i="6"/>
  <c r="C6" i="6" s="1"/>
  <c r="C8" i="6" s="1"/>
  <c r="B4" i="6"/>
  <c r="D8" i="6"/>
  <c r="D13" i="6" s="1"/>
  <c r="D15" i="6" s="1"/>
  <c r="D18" i="6" s="1"/>
  <c r="G28" i="5"/>
  <c r="H28" i="5" s="1"/>
  <c r="F28" i="5"/>
  <c r="E28" i="5"/>
  <c r="E27" i="5" s="1"/>
  <c r="E25" i="5"/>
  <c r="F23" i="5" s="1"/>
  <c r="F27" i="5" s="1"/>
  <c r="E23" i="5"/>
  <c r="G19" i="5"/>
  <c r="H19" i="5" s="1"/>
  <c r="F19" i="5"/>
  <c r="H15" i="5"/>
  <c r="G15" i="5"/>
  <c r="F15" i="5"/>
  <c r="E15" i="5"/>
  <c r="E16" i="5"/>
  <c r="E19" i="5"/>
  <c r="E17" i="5"/>
  <c r="F14" i="5" s="1"/>
  <c r="E14" i="5"/>
  <c r="H5" i="5"/>
  <c r="G5" i="5"/>
  <c r="F5" i="5"/>
  <c r="E5" i="5"/>
  <c r="E4" i="5"/>
  <c r="H9" i="5"/>
  <c r="G9" i="5"/>
  <c r="F9" i="5"/>
  <c r="E9" i="5"/>
  <c r="C9" i="5"/>
  <c r="E26" i="4"/>
  <c r="F25" i="4" s="1"/>
  <c r="E23" i="4"/>
  <c r="E22" i="4"/>
  <c r="E18" i="7" s="1"/>
  <c r="E14" i="8" s="1"/>
  <c r="D20" i="4"/>
  <c r="H20" i="4" s="1"/>
  <c r="C20" i="4"/>
  <c r="H17" i="4"/>
  <c r="G17" i="4"/>
  <c r="G16" i="4" s="1"/>
  <c r="F17" i="4"/>
  <c r="E17" i="4"/>
  <c r="E16" i="4" s="1"/>
  <c r="H16" i="4"/>
  <c r="F16" i="4"/>
  <c r="H13" i="4"/>
  <c r="G13" i="4"/>
  <c r="F13" i="4"/>
  <c r="E13" i="4"/>
  <c r="H10" i="4"/>
  <c r="G10" i="4"/>
  <c r="F10" i="4"/>
  <c r="E10" i="4"/>
  <c r="H7" i="4"/>
  <c r="G7" i="4"/>
  <c r="F7" i="4"/>
  <c r="E7" i="4"/>
  <c r="H14" i="4"/>
  <c r="G14" i="4"/>
  <c r="F14" i="4"/>
  <c r="E14" i="4"/>
  <c r="H11" i="4"/>
  <c r="G11" i="4"/>
  <c r="F11" i="4"/>
  <c r="E11" i="4"/>
  <c r="H8" i="4"/>
  <c r="G8" i="4"/>
  <c r="F8" i="4"/>
  <c r="E8" i="4"/>
  <c r="D26" i="4"/>
  <c r="C26" i="4"/>
  <c r="B26" i="4"/>
  <c r="D23" i="4"/>
  <c r="C23" i="4"/>
  <c r="B23" i="4"/>
  <c r="D25" i="4"/>
  <c r="C25" i="4"/>
  <c r="B25" i="4"/>
  <c r="D22" i="4"/>
  <c r="C22" i="4"/>
  <c r="B22" i="4"/>
  <c r="D19" i="4"/>
  <c r="C19" i="4"/>
  <c r="B19" i="4"/>
  <c r="D17" i="4"/>
  <c r="C17" i="4"/>
  <c r="B17" i="4"/>
  <c r="D16" i="4"/>
  <c r="C16" i="4"/>
  <c r="B16" i="4"/>
  <c r="D14" i="4"/>
  <c r="C14" i="4"/>
  <c r="B14" i="4"/>
  <c r="D13" i="4"/>
  <c r="C13" i="4"/>
  <c r="B13" i="4"/>
  <c r="D11" i="4"/>
  <c r="C11" i="4"/>
  <c r="B11" i="4"/>
  <c r="D10" i="4"/>
  <c r="C10" i="4"/>
  <c r="B10" i="4"/>
  <c r="D8" i="4"/>
  <c r="C8" i="4"/>
  <c r="B8" i="4"/>
  <c r="D7" i="4"/>
  <c r="C7" i="4"/>
  <c r="B7" i="4"/>
  <c r="D5" i="4"/>
  <c r="C5" i="4"/>
  <c r="H25" i="3"/>
  <c r="G25" i="3"/>
  <c r="F25" i="3"/>
  <c r="E25" i="3"/>
  <c r="G5" i="3"/>
  <c r="F5" i="3"/>
  <c r="H5" i="3" s="1"/>
  <c r="C5" i="3"/>
  <c r="E4" i="3"/>
  <c r="E5" i="3"/>
  <c r="H34" i="3"/>
  <c r="H27" i="3"/>
  <c r="G27" i="3"/>
  <c r="E26" i="3"/>
  <c r="F26" i="3" s="1"/>
  <c r="H32" i="3"/>
  <c r="G32" i="3"/>
  <c r="F32" i="3"/>
  <c r="E32" i="3"/>
  <c r="E31" i="3" s="1"/>
  <c r="E33" i="3"/>
  <c r="F33" i="3" s="1"/>
  <c r="G33" i="3" s="1"/>
  <c r="G34" i="3"/>
  <c r="F34" i="3"/>
  <c r="E34" i="3"/>
  <c r="F27" i="3"/>
  <c r="E27" i="3"/>
  <c r="H18" i="3"/>
  <c r="G18" i="3"/>
  <c r="F18" i="3"/>
  <c r="E18" i="3"/>
  <c r="H20" i="3"/>
  <c r="G20" i="3"/>
  <c r="F20" i="3"/>
  <c r="E20" i="3"/>
  <c r="B11" i="3"/>
  <c r="B9" i="9"/>
  <c r="F31" i="7"/>
  <c r="E31" i="7"/>
  <c r="D31" i="7"/>
  <c r="C31" i="7"/>
  <c r="B31" i="7"/>
  <c r="D21" i="7"/>
  <c r="D25" i="7" s="1"/>
  <c r="D32" i="7" s="1"/>
  <c r="C21" i="7"/>
  <c r="C25" i="7" s="1"/>
  <c r="C32" i="7" s="1"/>
  <c r="C35" i="7" s="1"/>
  <c r="B21" i="7"/>
  <c r="B25" i="7" s="1"/>
  <c r="B32" i="7" s="1"/>
  <c r="B35" i="7" s="1"/>
  <c r="D8" i="7"/>
  <c r="D12" i="7" s="1"/>
  <c r="D36" i="7" s="1"/>
  <c r="C8" i="7"/>
  <c r="C12" i="7" s="1"/>
  <c r="B8" i="7"/>
  <c r="B12" i="7" s="1"/>
  <c r="B7" i="7"/>
  <c r="E6" i="6"/>
  <c r="D6" i="6"/>
  <c r="B6" i="6"/>
  <c r="D28" i="5"/>
  <c r="C28" i="5"/>
  <c r="D27" i="5"/>
  <c r="C27" i="5"/>
  <c r="B27" i="5"/>
  <c r="B28" i="5" s="1"/>
  <c r="D25" i="5"/>
  <c r="C25" i="5"/>
  <c r="B25" i="5"/>
  <c r="C23" i="5" s="1"/>
  <c r="C24" i="5" s="1"/>
  <c r="D23" i="5"/>
  <c r="D24" i="5" s="1"/>
  <c r="D17" i="5"/>
  <c r="D15" i="5" s="1"/>
  <c r="C17" i="5"/>
  <c r="B17" i="5"/>
  <c r="D14" i="5"/>
  <c r="C14" i="5"/>
  <c r="C15" i="5" s="1"/>
  <c r="D7" i="5"/>
  <c r="C7" i="5"/>
  <c r="D4" i="5" s="1"/>
  <c r="B7" i="5"/>
  <c r="C4" i="5"/>
  <c r="D33" i="3"/>
  <c r="D34" i="3" s="1"/>
  <c r="C33" i="3"/>
  <c r="C34" i="3" s="1"/>
  <c r="B33" i="3"/>
  <c r="D32" i="3"/>
  <c r="C32" i="3"/>
  <c r="B32" i="3"/>
  <c r="D25" i="3"/>
  <c r="D26" i="3" s="1"/>
  <c r="C25" i="3"/>
  <c r="C26" i="3" s="1"/>
  <c r="B25" i="3"/>
  <c r="B26" i="3" s="1"/>
  <c r="B19" i="3"/>
  <c r="D18" i="3"/>
  <c r="D19" i="3" s="1"/>
  <c r="C18" i="3"/>
  <c r="C19" i="3" s="1"/>
  <c r="C20" i="3" s="1"/>
  <c r="B18" i="3"/>
  <c r="D12" i="3"/>
  <c r="H11" i="3"/>
  <c r="D11" i="3"/>
  <c r="C11" i="3"/>
  <c r="C12" i="3" s="1"/>
  <c r="F11" i="3"/>
  <c r="B6" i="3"/>
  <c r="D5" i="3"/>
  <c r="D3" i="3"/>
  <c r="D6" i="3" s="1"/>
  <c r="C3" i="3"/>
  <c r="C6" i="3" s="1"/>
  <c r="B3" i="3"/>
  <c r="D31" i="2"/>
  <c r="C31" i="2"/>
  <c r="B31" i="2"/>
  <c r="D25" i="2"/>
  <c r="D32" i="2" s="1"/>
  <c r="C25" i="2"/>
  <c r="C32" i="2" s="1"/>
  <c r="B25" i="2"/>
  <c r="B32" i="2" s="1"/>
  <c r="D21" i="2"/>
  <c r="C21" i="2"/>
  <c r="B21" i="2"/>
  <c r="C12" i="2"/>
  <c r="D8" i="2"/>
  <c r="D12" i="2" s="1"/>
  <c r="C8" i="2"/>
  <c r="B7" i="2"/>
  <c r="B8" i="2" s="1"/>
  <c r="B12" i="2" s="1"/>
  <c r="D35" i="7" l="1"/>
  <c r="G31" i="7"/>
  <c r="H30" i="7"/>
  <c r="E10" i="8"/>
  <c r="E24" i="8"/>
  <c r="D21" i="6"/>
  <c r="F5" i="4"/>
  <c r="G5" i="4"/>
  <c r="H5" i="4"/>
  <c r="E5" i="4"/>
  <c r="B7" i="6"/>
  <c r="B8" i="6" s="1"/>
  <c r="B13" i="6" s="1"/>
  <c r="B15" i="6" s="1"/>
  <c r="B18" i="6" s="1"/>
  <c r="B21" i="6" s="1"/>
  <c r="B20" i="4"/>
  <c r="C13" i="6"/>
  <c r="C15" i="6" s="1"/>
  <c r="C18" i="6" s="1"/>
  <c r="C21" i="6" s="1"/>
  <c r="F25" i="5"/>
  <c r="G23" i="5" s="1"/>
  <c r="F16" i="5"/>
  <c r="F17" i="5" s="1"/>
  <c r="G14" i="5" s="1"/>
  <c r="E6" i="5"/>
  <c r="E7" i="5" s="1"/>
  <c r="F4" i="5" s="1"/>
  <c r="H25" i="4"/>
  <c r="G25" i="4"/>
  <c r="E25" i="4"/>
  <c r="H22" i="4"/>
  <c r="H18" i="7" s="1"/>
  <c r="H14" i="8" s="1"/>
  <c r="F22" i="4"/>
  <c r="F18" i="7" s="1"/>
  <c r="G22" i="4"/>
  <c r="G18" i="7" s="1"/>
  <c r="E20" i="4"/>
  <c r="F20" i="4"/>
  <c r="G20" i="4"/>
  <c r="F4" i="3"/>
  <c r="G4" i="3" s="1"/>
  <c r="H4" i="3" s="1"/>
  <c r="H33" i="3"/>
  <c r="G26" i="3"/>
  <c r="H26" i="3" s="1"/>
  <c r="F24" i="3"/>
  <c r="F3" i="3" s="1"/>
  <c r="E24" i="3"/>
  <c r="E3" i="3" s="1"/>
  <c r="E6" i="3" s="1"/>
  <c r="F31" i="3"/>
  <c r="G31" i="3"/>
  <c r="D9" i="5"/>
  <c r="D5" i="5"/>
  <c r="D13" i="3"/>
  <c r="D20" i="3"/>
  <c r="C27" i="3"/>
  <c r="D27" i="3"/>
  <c r="D19" i="5"/>
  <c r="C5" i="5"/>
  <c r="B12" i="3"/>
  <c r="C13" i="3" s="1"/>
  <c r="C19" i="5"/>
  <c r="G11" i="3"/>
  <c r="E11" i="3"/>
  <c r="F21" i="7" l="1"/>
  <c r="F25" i="7" s="1"/>
  <c r="F32" i="7" s="1"/>
  <c r="F14" i="8"/>
  <c r="G14" i="8"/>
  <c r="F12" i="8"/>
  <c r="E12" i="8"/>
  <c r="E16" i="8" s="1"/>
  <c r="E21" i="8" s="1"/>
  <c r="B4" i="10" s="1"/>
  <c r="B8" i="10" s="1"/>
  <c r="E19" i="7"/>
  <c r="G12" i="8"/>
  <c r="G16" i="8" s="1"/>
  <c r="G21" i="8" s="1"/>
  <c r="G25" i="8" s="1"/>
  <c r="G19" i="7"/>
  <c r="G21" i="7" s="1"/>
  <c r="G25" i="7" s="1"/>
  <c r="G32" i="7" s="1"/>
  <c r="H12" i="8"/>
  <c r="H16" i="8" s="1"/>
  <c r="H21" i="8" s="1"/>
  <c r="H25" i="8" s="1"/>
  <c r="H19" i="7"/>
  <c r="H21" i="7" s="1"/>
  <c r="H25" i="7" s="1"/>
  <c r="H32" i="7" s="1"/>
  <c r="H7" i="6"/>
  <c r="H8" i="6" s="1"/>
  <c r="H13" i="6" s="1"/>
  <c r="H15" i="6" s="1"/>
  <c r="H18" i="6" s="1"/>
  <c r="H21" i="6" s="1"/>
  <c r="H19" i="4"/>
  <c r="E19" i="4"/>
  <c r="E7" i="6"/>
  <c r="E8" i="6" s="1"/>
  <c r="E13" i="6" s="1"/>
  <c r="E15" i="6" s="1"/>
  <c r="E18" i="6" s="1"/>
  <c r="E21" i="6" s="1"/>
  <c r="G7" i="6"/>
  <c r="G8" i="6" s="1"/>
  <c r="G13" i="6" s="1"/>
  <c r="G15" i="6" s="1"/>
  <c r="G18" i="6" s="1"/>
  <c r="G21" i="6" s="1"/>
  <c r="G19" i="4"/>
  <c r="F19" i="4"/>
  <c r="F7" i="6"/>
  <c r="F8" i="6" s="1"/>
  <c r="F13" i="6" s="1"/>
  <c r="F15" i="6" s="1"/>
  <c r="F18" i="6" s="1"/>
  <c r="F21" i="6" s="1"/>
  <c r="G27" i="5"/>
  <c r="G25" i="5"/>
  <c r="H23" i="5" s="1"/>
  <c r="G16" i="5"/>
  <c r="G17" i="5" s="1"/>
  <c r="H14" i="5" s="1"/>
  <c r="F6" i="5"/>
  <c r="F7" i="5" s="1"/>
  <c r="G4" i="5" s="1"/>
  <c r="G6" i="5" s="1"/>
  <c r="G7" i="5" s="1"/>
  <c r="H4" i="5" s="1"/>
  <c r="H6" i="5" s="1"/>
  <c r="H7" i="5" s="1"/>
  <c r="H24" i="3"/>
  <c r="H3" i="3" s="1"/>
  <c r="H6" i="3"/>
  <c r="F6" i="3"/>
  <c r="G24" i="3"/>
  <c r="G3" i="3" s="1"/>
  <c r="G6" i="3" s="1"/>
  <c r="H31" i="3"/>
  <c r="E13" i="3"/>
  <c r="E12" i="3" s="1"/>
  <c r="G13" i="3"/>
  <c r="H13" i="3"/>
  <c r="F13" i="3"/>
  <c r="E10" i="3"/>
  <c r="E19" i="3"/>
  <c r="E4" i="10" l="1"/>
  <c r="E21" i="7"/>
  <c r="D4" i="10"/>
  <c r="D8" i="10" s="1"/>
  <c r="J8" i="8"/>
  <c r="F16" i="8"/>
  <c r="F21" i="8" s="1"/>
  <c r="B12" i="10"/>
  <c r="B13" i="10" s="1"/>
  <c r="E8" i="10"/>
  <c r="H27" i="5"/>
  <c r="H25" i="5"/>
  <c r="H16" i="5"/>
  <c r="H17" i="5" s="1"/>
  <c r="F19" i="3"/>
  <c r="E17" i="3"/>
  <c r="F12" i="3"/>
  <c r="C4" i="10" l="1"/>
  <c r="C8" i="10" s="1"/>
  <c r="F25" i="8"/>
  <c r="E25" i="7"/>
  <c r="E32" i="7" s="1"/>
  <c r="G19" i="3"/>
  <c r="F17" i="3"/>
  <c r="G12" i="3"/>
  <c r="F10" i="3"/>
  <c r="B10" i="10" l="1"/>
  <c r="B16" i="10" s="1"/>
  <c r="H19" i="3"/>
  <c r="H17" i="3" s="1"/>
  <c r="G17" i="3"/>
  <c r="H12" i="3"/>
  <c r="H10" i="3" s="1"/>
  <c r="G10" i="3"/>
  <c r="E25" i="8"/>
  <c r="E29" i="8" l="1"/>
  <c r="F28" i="8" s="1"/>
  <c r="F29" i="8" s="1"/>
  <c r="E6" i="7"/>
  <c r="J6" i="7" l="1"/>
  <c r="F6" i="7"/>
  <c r="G6" i="7" s="1"/>
  <c r="H6" i="7" s="1"/>
  <c r="B18" i="10" s="1"/>
  <c r="E8" i="7"/>
  <c r="G28" i="8"/>
  <c r="G29" i="8" s="1"/>
  <c r="F8" i="7"/>
  <c r="F12" i="7" s="1"/>
  <c r="E12" i="7" l="1"/>
  <c r="J8" i="7"/>
  <c r="F35" i="7"/>
  <c r="F36" i="7"/>
  <c r="H28" i="8"/>
  <c r="H29" i="8" s="1"/>
  <c r="H8" i="7" s="1"/>
  <c r="H12" i="7" s="1"/>
  <c r="G8" i="7"/>
  <c r="G12" i="7" s="1"/>
  <c r="E35" i="7" l="1"/>
  <c r="E36" i="7"/>
  <c r="G36" i="7"/>
  <c r="G35" i="7"/>
  <c r="H35" i="7"/>
  <c r="H3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tc={F294D133-68BA-4299-A6DF-E7B687C957DF}</author>
    <author>tc={F121C123-95FC-4F3E-A937-36C59E968656}</author>
    <author>tc={B28CC29E-1FDB-468C-8E23-CCD592FCF096}</author>
    <author>tc={FF9C46F4-3973-4B7C-ADA2-378ADEDC3E29}</author>
    <author>tc={336F1176-B49D-4D9C-BAC4-F5459CC988D1}</author>
  </authors>
  <commentList>
    <comment ref="H8" authorId="0" shapeId="0" xr:uid="{F294D133-68BA-4299-A6DF-E7B687C957DF}">
      <text>
        <t>[Threaded comment]
Your version of Excel allows you to read this threaded comment; however, any edits to it will get removed if the file is opened in a newer version of Excel. Learn more: https://go.microsoft.com/fwlink/?linkid=870924
Comment:
    Intent is to have a average standard growth rate</t>
      </text>
    </comment>
    <comment ref="E11" authorId="1" shapeId="0" xr:uid="{F121C123-95FC-4F3E-A937-36C59E968656}">
      <text>
        <t>[Threaded comment]
Your version of Excel allows you to read this threaded comment; however, any edits to it will get removed if the file is opened in a newer version of Excel. Learn more: https://go.microsoft.com/fwlink/?linkid=870924
Comment:
    Assumption- constant</t>
      </text>
    </comment>
    <comment ref="H20" authorId="2" shapeId="0" xr:uid="{B28CC29E-1FDB-468C-8E23-CCD592FCF096}">
      <text>
        <t>[Threaded comment]
Your version of Excel allows you to read this threaded comment; however, any edits to it will get removed if the file is opened in a newer version of Excel. Learn more: https://go.microsoft.com/fwlink/?linkid=870924
Comment:
    Assumption- the decline in the growth rate. Also, it is crucial to ascertain accurate rate for last year as it will determine the valuation</t>
      </text>
    </comment>
    <comment ref="F34" authorId="3" shapeId="0" xr:uid="{FF9C46F4-3973-4B7C-ADA2-378ADEDC3E29}">
      <text>
        <t>[Threaded comment]
Your version of Excel allows you to read this threaded comment; however, any edits to it will get removed if the file is opened in a newer version of Excel. Learn more: https://go.microsoft.com/fwlink/?linkid=870924
Comment:
    Taken assumption of such high growth rate given past trends</t>
      </text>
    </comment>
    <comment ref="H34" authorId="4" shapeId="0" xr:uid="{336F1176-B49D-4D9C-BAC4-F5459CC988D1}">
      <text>
        <t>[Threaded comment]
Your version of Excel allows you to read this threaded comment; however, any edits to it will get removed if the file is opened in a newer version of Excel. Learn more: https://go.microsoft.com/fwlink/?linkid=870924
Comment:
    A bit conservative approach towards the end since the final year will decide the valuation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tc={A3A84B31-9B83-49FD-B0A6-76A21775140E}</author>
    <author>tc={EA21F34C-77C8-4075-A9A4-E569CCFF3DFB}</author>
    <author>tc={DB539148-1D0A-456B-A5AE-325E70D7AD5F}</author>
    <author>tc={72C3E5C7-A66A-40C6-889B-9D17F1BB7EBF}</author>
  </authors>
  <commentList>
    <comment ref="C5" authorId="0" shapeId="0" xr:uid="{A3A84B31-9B83-49FD-B0A6-76A21775140E}">
      <text>
        <t>[Threaded comment]
Your version of Excel allows you to read this threaded comment; however, any edits to it will get removed if the file is opened in a newer version of Excel. Learn more: https://go.microsoft.com/fwlink/?linkid=870924
Comment:
    Reverse calculated the value using other factors available- opening and closing balance and depreciation</t>
      </text>
    </comment>
    <comment ref="B6" authorId="1" shapeId="0" xr:uid="{EA21F34C-77C8-4075-A9A4-E569CCFF3DFB}">
      <text>
        <t>[Threaded comment]
Your version of Excel allows you to read this threaded comment; however, any edits to it will get removed if the file is opened in a newer version of Excel. Learn more: https://go.microsoft.com/fwlink/?linkid=870924
Comment:
    We have to look for depreciation in the notes as it is an important element. The following was picked from the financials and not assumed</t>
      </text>
    </comment>
    <comment ref="C9" authorId="2" shapeId="0" xr:uid="{DB539148-1D0A-456B-A5AE-325E70D7AD5F}">
      <text>
        <t>[Threaded comment]
Your version of Excel allows you to read this threaded comment; however, any edits to it will get removed if the file is opened in a newer version of Excel. Learn more: https://go.microsoft.com/fwlink/?linkid=870924
Comment:
    Current life= opening + caepex / depreciation = useful life</t>
      </text>
    </comment>
    <comment ref="H28" authorId="3" shapeId="0" xr:uid="{72C3E5C7-A66A-40C6-889B-9D17F1BB7EBF}">
      <text>
        <t>[Threaded comment]
Your version of Excel allows you to read this threaded comment; however, any edits to it will get removed if the file is opened in a newer version of Excel. Learn more: https://go.microsoft.com/fwlink/?linkid=870924
Comment:
    4.5 is a good estimate since its close to 4.875% given in debt schedule- the very last payment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tc={BF4EA93C-F064-4640-9AA4-5B89B87D1053}</author>
  </authors>
  <commentList>
    <comment ref="B10" authorId="0" shapeId="0" xr:uid="{BF4EA93C-F064-4640-9AA4-5B89B87D1053}">
      <text>
        <t>[Threaded comment]
Your version of Excel allows you to read this threaded comment; however, any edits to it will get removed if the file is opened in a newer version of Excel. Learn more: https://go.microsoft.com/fwlink/?linkid=870924
Comment:
    Refer to the debt schedule, it needs to be the rate at which company has taken the latest loan/debt</t>
      </text>
    </comment>
  </commentList>
</comments>
</file>

<file path=xl/sharedStrings.xml><?xml version="1.0" encoding="utf-8"?>
<sst xmlns="http://schemas.openxmlformats.org/spreadsheetml/2006/main" count="288" uniqueCount="151">
  <si>
    <t>P&amp;L Statement</t>
  </si>
  <si>
    <t>(in thousands)</t>
  </si>
  <si>
    <t>2018
Act</t>
  </si>
  <si>
    <t>2019
Act</t>
  </si>
  <si>
    <t>2020
Act</t>
  </si>
  <si>
    <t>Revenues</t>
  </si>
  <si>
    <t>Cost of revenues</t>
  </si>
  <si>
    <t>Marketing</t>
  </si>
  <si>
    <t>Technology and development</t>
  </si>
  <si>
    <t>General and administrative</t>
  </si>
  <si>
    <t>Operating income</t>
  </si>
  <si>
    <t>Other income (expense):</t>
  </si>
  <si>
    <t xml:space="preserve">     Interest</t>
  </si>
  <si>
    <t xml:space="preserve">     Interest and other income (expense)</t>
  </si>
  <si>
    <t>Income before income taxes</t>
  </si>
  <si>
    <t>Provision for income taxes</t>
  </si>
  <si>
    <t>Net income</t>
  </si>
  <si>
    <t xml:space="preserve">Balance Sheet </t>
  </si>
  <si>
    <t>Assets</t>
  </si>
  <si>
    <t>Current assets:</t>
  </si>
  <si>
    <t xml:space="preserve">     Cash and cash equivalents</t>
  </si>
  <si>
    <t>Cashflow</t>
  </si>
  <si>
    <t xml:space="preserve">     Other current assets</t>
  </si>
  <si>
    <t>Other Items</t>
  </si>
  <si>
    <t>Total current assets</t>
  </si>
  <si>
    <t xml:space="preserve">     Content assets, net</t>
  </si>
  <si>
    <t>Schedules</t>
  </si>
  <si>
    <t xml:space="preserve">     Property and equipment, net</t>
  </si>
  <si>
    <t xml:space="preserve">     Other non-current assets</t>
  </si>
  <si>
    <t>Total assets</t>
  </si>
  <si>
    <t>Liabilities and Stockholders' Equity</t>
  </si>
  <si>
    <t>Current liabilities:</t>
  </si>
  <si>
    <t xml:space="preserve">     Current content liabilities</t>
  </si>
  <si>
    <t xml:space="preserve">     Accounts payable</t>
  </si>
  <si>
    <t xml:space="preserve">     Accrued expenses and other liabilities</t>
  </si>
  <si>
    <t xml:space="preserve">     Deferred revenue</t>
  </si>
  <si>
    <t xml:space="preserve">     Short-term debt</t>
  </si>
  <si>
    <t>Total current liabilities</t>
  </si>
  <si>
    <t>Non-current content liabilities</t>
  </si>
  <si>
    <t xml:space="preserve">     Long-term debt</t>
  </si>
  <si>
    <t xml:space="preserve">     Other non-current liabilities</t>
  </si>
  <si>
    <t>Total liabilities</t>
  </si>
  <si>
    <t>Stockholders' equity:</t>
  </si>
  <si>
    <t xml:space="preserve">     Common stock</t>
  </si>
  <si>
    <t xml:space="preserve">     Treasury stock</t>
  </si>
  <si>
    <t xml:space="preserve">     Accumulated other comprehensive income (loss)</t>
  </si>
  <si>
    <t xml:space="preserve">     Retained earnings</t>
  </si>
  <si>
    <t>Total stockholders' equity</t>
  </si>
  <si>
    <t>Total liabilities and stockholders' equity</t>
  </si>
  <si>
    <t>Revenue Sources</t>
  </si>
  <si>
    <t>Streaming revenues</t>
  </si>
  <si>
    <t>DVD Revenues</t>
  </si>
  <si>
    <t>Growth %</t>
  </si>
  <si>
    <t>Total Revenues</t>
  </si>
  <si>
    <t>Unites States and Canada ( in thousands)</t>
  </si>
  <si>
    <t>Average Monthly Revenues</t>
  </si>
  <si>
    <t>Average yearly revenue per membership</t>
  </si>
  <si>
    <t>Average Paid membership</t>
  </si>
  <si>
    <t>Europe, Middle East, and Africa (EMEA) (in thousands)</t>
  </si>
  <si>
    <t>Latin America (LATAM) (in thousands)</t>
  </si>
  <si>
    <t>Asia-Pacific (in thousands)</t>
  </si>
  <si>
    <t>2021
Forcasted</t>
  </si>
  <si>
    <t>2022
Forcasted</t>
  </si>
  <si>
    <t>2023
Forcasted</t>
  </si>
  <si>
    <t>2024
Forcasted</t>
  </si>
  <si>
    <t>Cost of Goods Sold</t>
  </si>
  <si>
    <t>as a % revenues</t>
  </si>
  <si>
    <t>Technology and Development</t>
  </si>
  <si>
    <t>General and Administrative</t>
  </si>
  <si>
    <t>Other Current assets</t>
  </si>
  <si>
    <t xml:space="preserve">Accounts Payable </t>
  </si>
  <si>
    <t>Days Payable</t>
  </si>
  <si>
    <t>Accrued Expenses and other Liabilities</t>
  </si>
  <si>
    <t>Deferred Revenue</t>
  </si>
  <si>
    <t>PP&amp;E</t>
  </si>
  <si>
    <t>Beginning Balance</t>
  </si>
  <si>
    <t>add: Capex</t>
  </si>
  <si>
    <t>less: Depreciation</t>
  </si>
  <si>
    <t>Closing Balance</t>
  </si>
  <si>
    <t xml:space="preserve">Useful life </t>
  </si>
  <si>
    <t>Content Assets</t>
  </si>
  <si>
    <t>add: Addition to Content Assets</t>
  </si>
  <si>
    <t>less: Amortisation of Content Assets</t>
  </si>
  <si>
    <t>Useful life</t>
  </si>
  <si>
    <t>Debt Schedule</t>
  </si>
  <si>
    <t>Beginning Balance of Debt</t>
  </si>
  <si>
    <t>add/less: Debt Taken /(debt repaid)</t>
  </si>
  <si>
    <t>Interest Expense</t>
  </si>
  <si>
    <t>P&amp;L Forcasting</t>
  </si>
  <si>
    <t>Gross Margin</t>
  </si>
  <si>
    <t>Operating Expenses</t>
  </si>
  <si>
    <t>EBITDA</t>
  </si>
  <si>
    <t xml:space="preserve">EBIT </t>
  </si>
  <si>
    <t>EBT</t>
  </si>
  <si>
    <t>Taxes</t>
  </si>
  <si>
    <t>tax rate %</t>
  </si>
  <si>
    <t>Net Income</t>
  </si>
  <si>
    <t xml:space="preserve">Check </t>
  </si>
  <si>
    <t>Cash Flow</t>
  </si>
  <si>
    <t>EBIT</t>
  </si>
  <si>
    <t>Operating Taxes</t>
  </si>
  <si>
    <t>Tax Rate %</t>
  </si>
  <si>
    <t>NOPAT</t>
  </si>
  <si>
    <t>add Amortization</t>
  </si>
  <si>
    <t>add Depreciation</t>
  </si>
  <si>
    <t>Gross Cash Flow</t>
  </si>
  <si>
    <t>Account Payables</t>
  </si>
  <si>
    <t>Current content liabilites</t>
  </si>
  <si>
    <t>Accrued expenses and other liabilities</t>
  </si>
  <si>
    <t>Other current assets</t>
  </si>
  <si>
    <t>Investments in Working Capital</t>
  </si>
  <si>
    <t>Capex:</t>
  </si>
  <si>
    <t>Extraordinary Items</t>
  </si>
  <si>
    <t>UFCF</t>
  </si>
  <si>
    <t>Debt taken (Repaid)</t>
  </si>
  <si>
    <t>Diff b/w Operating Taxes &amp; Actual Taxes</t>
  </si>
  <si>
    <t>Net Cash Flow</t>
  </si>
  <si>
    <t>Opening Cash</t>
  </si>
  <si>
    <t xml:space="preserve">Closing Cash </t>
  </si>
  <si>
    <t>WACC</t>
  </si>
  <si>
    <t>Risk free Rate</t>
  </si>
  <si>
    <t>Market Risk Premium</t>
  </si>
  <si>
    <t>Beta</t>
  </si>
  <si>
    <t>Amount</t>
  </si>
  <si>
    <t xml:space="preserve">Cost of Equity </t>
  </si>
  <si>
    <t>RiskfreeRate*beta + Market Risk Premium</t>
  </si>
  <si>
    <t>Cost Debt</t>
  </si>
  <si>
    <t>Equity</t>
  </si>
  <si>
    <t>Debt</t>
  </si>
  <si>
    <t>Equity/(Equity+Debt)</t>
  </si>
  <si>
    <t>Debt/(Equity+Debt)</t>
  </si>
  <si>
    <t>DCF Analysis</t>
  </si>
  <si>
    <t xml:space="preserve">Discounting Factor </t>
  </si>
  <si>
    <t>No of Years</t>
  </si>
  <si>
    <t>PV of UFCF</t>
  </si>
  <si>
    <t>Sum of PV</t>
  </si>
  <si>
    <t>Terminal Value</t>
  </si>
  <si>
    <t>PV of Terminal value</t>
  </si>
  <si>
    <t>Enterprise Value</t>
  </si>
  <si>
    <t>Cash</t>
  </si>
  <si>
    <t>Equity Value</t>
  </si>
  <si>
    <t>Forecasted</t>
  </si>
  <si>
    <t>Assumption that it stays at 6% given past 2 year trends</t>
  </si>
  <si>
    <t>Assumption that it stays constant</t>
  </si>
  <si>
    <t>(D19/D4)*365</t>
  </si>
  <si>
    <t>since the past trends reflects stability- we have continued with the average of past years</t>
  </si>
  <si>
    <t>maturity date is given- value that is to be maturede on a given financial year is our debt repaid. We are assuming netflix is taking no more new debt- given it's already has enough given its balancesheet size</t>
  </si>
  <si>
    <t>since we donot have a separate schedule for depreciation- we are deducting it from COGS- bc it would have been included in the PL statement to arrive at net income/loss. But not in projected years as we have seperetly calculated that</t>
  </si>
  <si>
    <t>interest and other income is not something we can predict since it doesot fall in to the ordinary course of business hence we have taken that as NIL for the projected years</t>
  </si>
  <si>
    <t>Assumed that the taxes will remain the same as last year</t>
  </si>
  <si>
    <t>Terminal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</si>
</sst>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_);_(* \(#,##0\);_(* &quot;-&quot;??_);_(@_)"/>
    <numFmt numFmtId="165" formatCode="_(&quot;$&quot;* #,##0_);_(&quot;$&quot;* \(#,##0\);_(&quot;$&quot;* &quot;-&quot;??_);_(@_)"/>
    <numFmt numFmtId="166" formatCode="&quot;$&quot;* #,###\ ;&quot;$&quot;* \(#,###\);&quot;$&quot;* \-\ "/>
    <numFmt numFmtId="167" formatCode="_(* #,##0.00_);_(* \(#,##0.00\);_(* &quot;-&quot;??_);_(@_)"/>
    <numFmt numFmtId="168" formatCode="&quot;$&quot;#,##0.00"/>
    <numFmt numFmtId="169" formatCode="0.0%"/>
    <numFmt numFmtId="170" formatCode="#,##0.0"/>
    <numFmt numFmtId="171" formatCode="_(* #,##0.0_);_(* \(#,##0.0\);_(* &quot;-&quot;?_);@_l"/>
    <numFmt numFmtId="172" formatCode="_(* #,##0.0_);_(* \(#,##0.0\);_(* &quot;-&quot;?_);@_)"/>
    <numFmt numFmtId="189" formatCode="_ * #,##0.00000_ ;_ * \-#,##0.00000_ ;_ * &quot;-&quot;??_ ;_ @_ "/>
  </numFmts>
  <fonts count="27">
    <font>
      <sz val="11"/>
      <name val="Calibri"/>
      <scheme val="minor"/>
    </font>
    <font>
      <b/>
      <sz val="20"/>
      <color rgb="FF002060"/>
      <name val="Arial"/>
    </font>
    <font>
      <sz val="10"/>
      <name val="Arial"/>
    </font>
    <font>
      <b/>
      <sz val="9"/>
      <name val="Arial"/>
    </font>
    <font>
      <sz val="10"/>
      <color rgb="FF000000"/>
      <name val="Arial"/>
    </font>
    <font>
      <b/>
      <sz val="10"/>
      <name val="Arial"/>
    </font>
    <font>
      <b/>
      <sz val="12"/>
      <color rgb="FF002060"/>
      <name val="Arial"/>
    </font>
    <font>
      <sz val="11"/>
      <name val="Calibri"/>
    </font>
    <font>
      <i/>
      <sz val="10"/>
      <name val="Arial"/>
    </font>
    <font>
      <sz val="11"/>
      <name val="Calibri"/>
    </font>
    <font>
      <b/>
      <sz val="8"/>
      <color rgb="FF000000"/>
      <name val="Times New Roman"/>
    </font>
    <font>
      <sz val="10"/>
      <color rgb="FF000000"/>
      <name val="Times New Roman"/>
    </font>
    <font>
      <sz val="10"/>
      <name val="Times New Roman"/>
    </font>
    <font>
      <i/>
      <sz val="11"/>
      <name val="Calibri"/>
    </font>
    <font>
      <b/>
      <sz val="20"/>
      <name val="Calibri"/>
    </font>
    <font>
      <sz val="11"/>
      <color rgb="FF2F5496"/>
      <name val="Calibri"/>
    </font>
    <font>
      <b/>
      <sz val="11"/>
      <color rgb="FF1F3864"/>
      <name val="Calibri"/>
    </font>
    <font>
      <sz val="9"/>
      <name val="Arial"/>
    </font>
    <font>
      <b/>
      <sz val="9"/>
      <color rgb="FF333F4F"/>
      <name val="Arial"/>
    </font>
    <font>
      <sz val="9"/>
      <name val="Arial"/>
    </font>
    <font>
      <b/>
      <sz val="14"/>
      <name val="Calibri"/>
    </font>
    <font>
      <sz val="11"/>
      <name val="Calibri"/>
      <scheme val="minor"/>
    </font>
    <font>
      <sz val="9"/>
      <color indexed="81"/>
      <name val="Tahoma"/>
      <charset val="1"/>
    </font>
    <font>
      <b/>
      <sz val="11"/>
      <color theme="0"/>
      <name val="Calibri"/>
      <family val="2"/>
    </font>
    <font>
      <b/>
      <sz val="10"/>
      <color theme="0"/>
      <name val="Arial"/>
      <family val="2"/>
    </font>
    <font>
      <sz val="11"/>
      <color theme="0"/>
      <name val="Calibri"/>
      <family val="2"/>
    </font>
    <font>
      <sz val="11"/>
      <name val="Calibri"/>
      <family val="2"/>
      <scheme val="minor"/>
    </font>
  </fonts>
  <fills count="7">
    <fill>
      <patternFill patternType="none"/>
    </fill>
    <fill>
      <patternFill patternType="gray125"/>
    </fill>
    <fill>
      <patternFill patternType="solid">
        <fgColor rgb="FFE7E6E6"/>
        <bgColor rgb="FFE7E6E6"/>
      </patternFill>
    </fill>
    <fill>
      <patternFill patternType="solid">
        <fgColor rgb="FFFFD965"/>
        <bgColor rgb="FFFFD965"/>
      </patternFill>
    </fill>
    <fill>
      <patternFill patternType="solid">
        <fgColor rgb="FF1F3864"/>
        <bgColor rgb="FF1F3864"/>
      </patternFill>
    </fill>
    <fill>
      <patternFill patternType="solid">
        <fgColor rgb="FFFFFF00"/>
        <bgColor indexed="64"/>
      </patternFill>
    </fill>
    <fill>
      <patternFill patternType="solid">
        <fgColor theme="2" tint="-9.9978637043366805E-2"/>
        <bgColor indexed="64"/>
      </patternFill>
    </fill>
  </fills>
  <borders count="19">
    <border>
      <left/>
      <right/>
      <top/>
      <bottom/>
      <diagonal/>
    </border>
    <border>
      <left/>
      <right/>
      <top/>
      <bottom style="thin">
        <color rgb="FF000000"/>
      </bottom>
      <diagonal/>
    </border>
    <border>
      <left/>
      <right/>
      <top style="thin">
        <color rgb="FF000000"/>
      </top>
      <bottom/>
      <diagonal/>
    </border>
    <border>
      <left/>
      <right/>
      <top style="thin">
        <color rgb="FF000000"/>
      </top>
      <bottom style="medium">
        <color rgb="FF000000"/>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thin">
        <color indexed="64"/>
      </bottom>
      <diagonal/>
    </border>
  </borders>
  <cellStyleXfs count="3">
    <xf numFmtId="0" fontId="0" fillId="0" borderId="0"/>
    <xf numFmtId="43" fontId="21" fillId="0" borderId="0" applyFont="0" applyFill="0" applyBorder="0" applyAlignment="0" applyProtection="0"/>
    <xf numFmtId="9" fontId="21" fillId="0" borderId="0" applyFont="0" applyFill="0" applyBorder="0" applyAlignment="0" applyProtection="0"/>
  </cellStyleXfs>
  <cellXfs count="117">
    <xf numFmtId="0" fontId="0" fillId="0" borderId="0" xfId="0"/>
    <xf numFmtId="0" fontId="2" fillId="0" borderId="0" xfId="0" applyFont="1" applyAlignment="1">
      <alignment vertical="top"/>
    </xf>
    <xf numFmtId="0" fontId="3" fillId="0" borderId="1" xfId="0" applyFont="1" applyBorder="1"/>
    <xf numFmtId="0" fontId="3" fillId="0" borderId="1" xfId="0" applyFont="1" applyBorder="1" applyAlignment="1">
      <alignment horizontal="right" vertical="top" wrapText="1"/>
    </xf>
    <xf numFmtId="0" fontId="2" fillId="0" borderId="0" xfId="0" applyFont="1" applyAlignment="1">
      <alignment vertical="top" wrapText="1"/>
    </xf>
    <xf numFmtId="0" fontId="4" fillId="0" borderId="0" xfId="0" applyFont="1" applyAlignment="1">
      <alignment vertical="top" wrapText="1"/>
    </xf>
    <xf numFmtId="164" fontId="2" fillId="0" borderId="0" xfId="0" applyNumberFormat="1" applyFont="1" applyAlignment="1">
      <alignment vertical="top"/>
    </xf>
    <xf numFmtId="0" fontId="4" fillId="0" borderId="0" xfId="0" applyFont="1" applyAlignment="1">
      <alignment horizontal="left" vertical="top"/>
    </xf>
    <xf numFmtId="0" fontId="4" fillId="0" borderId="0" xfId="0" applyFont="1" applyAlignment="1">
      <alignment vertical="top"/>
    </xf>
    <xf numFmtId="0" fontId="4" fillId="0" borderId="0" xfId="0" applyFont="1" applyAlignment="1">
      <alignment horizontal="left" vertical="top" wrapText="1"/>
    </xf>
    <xf numFmtId="0" fontId="5" fillId="0" borderId="0" xfId="0" applyFont="1"/>
    <xf numFmtId="0" fontId="2" fillId="0" borderId="0" xfId="0" applyFont="1"/>
    <xf numFmtId="3" fontId="2" fillId="0" borderId="0" xfId="0" applyNumberFormat="1" applyFont="1"/>
    <xf numFmtId="165" fontId="4" fillId="0" borderId="0" xfId="0" applyNumberFormat="1" applyFont="1"/>
    <xf numFmtId="164" fontId="4" fillId="0" borderId="1" xfId="0" applyNumberFormat="1" applyFont="1" applyBorder="1"/>
    <xf numFmtId="164" fontId="4" fillId="0" borderId="2" xfId="0" applyNumberFormat="1" applyFont="1" applyBorder="1"/>
    <xf numFmtId="164" fontId="4" fillId="0" borderId="0" xfId="0" applyNumberFormat="1" applyFont="1"/>
    <xf numFmtId="164" fontId="2" fillId="0" borderId="0" xfId="0" applyNumberFormat="1" applyFont="1" applyAlignment="1">
      <alignment horizontal="left" vertical="top"/>
    </xf>
    <xf numFmtId="165" fontId="4" fillId="0" borderId="3" xfId="0" applyNumberFormat="1" applyFont="1" applyBorder="1"/>
    <xf numFmtId="166" fontId="4" fillId="0" borderId="0" xfId="0" applyNumberFormat="1" applyFont="1"/>
    <xf numFmtId="165" fontId="2" fillId="0" borderId="0" xfId="0" applyNumberFormat="1" applyFont="1"/>
    <xf numFmtId="3" fontId="2" fillId="0" borderId="0" xfId="0" applyNumberFormat="1" applyFont="1" applyAlignment="1">
      <alignment vertical="top"/>
    </xf>
    <xf numFmtId="0" fontId="2" fillId="0" borderId="0" xfId="0" applyFont="1" applyAlignment="1">
      <alignment horizontal="left" wrapText="1"/>
    </xf>
    <xf numFmtId="164" fontId="4" fillId="0" borderId="4" xfId="0" applyNumberFormat="1" applyFont="1" applyBorder="1"/>
    <xf numFmtId="0" fontId="6" fillId="0" borderId="0" xfId="0" applyFont="1" applyAlignment="1">
      <alignment vertical="top"/>
    </xf>
    <xf numFmtId="0" fontId="7" fillId="0" borderId="0" xfId="0" applyFont="1" applyAlignment="1">
      <alignment vertical="top"/>
    </xf>
    <xf numFmtId="167" fontId="7" fillId="0" borderId="0" xfId="0" applyNumberFormat="1" applyFont="1" applyAlignment="1">
      <alignment vertical="top"/>
    </xf>
    <xf numFmtId="3" fontId="7" fillId="0" borderId="0" xfId="0" applyNumberFormat="1" applyFont="1" applyAlignment="1">
      <alignment vertical="top"/>
    </xf>
    <xf numFmtId="0" fontId="8" fillId="0" borderId="0" xfId="0" applyFont="1" applyAlignment="1">
      <alignment vertical="top"/>
    </xf>
    <xf numFmtId="9" fontId="7" fillId="0" borderId="0" xfId="0" applyNumberFormat="1" applyFont="1" applyAlignment="1">
      <alignment vertical="top"/>
    </xf>
    <xf numFmtId="0" fontId="5" fillId="0" borderId="0" xfId="0" applyFont="1" applyAlignment="1">
      <alignment vertical="top"/>
    </xf>
    <xf numFmtId="167" fontId="5" fillId="0" borderId="0" xfId="0" applyNumberFormat="1" applyFont="1" applyAlignment="1">
      <alignment vertical="top"/>
    </xf>
    <xf numFmtId="0" fontId="5" fillId="2" borderId="8" xfId="0" applyFont="1" applyFill="1" applyBorder="1" applyAlignment="1">
      <alignment vertical="top"/>
    </xf>
    <xf numFmtId="168" fontId="7" fillId="0" borderId="0" xfId="0" applyNumberFormat="1" applyFont="1" applyAlignment="1">
      <alignment vertical="top"/>
    </xf>
    <xf numFmtId="168" fontId="7" fillId="0" borderId="8" xfId="0" applyNumberFormat="1" applyFont="1" applyBorder="1" applyAlignment="1">
      <alignment vertical="top"/>
    </xf>
    <xf numFmtId="168" fontId="7" fillId="2" borderId="8" xfId="0" applyNumberFormat="1" applyFont="1" applyFill="1" applyBorder="1" applyAlignment="1">
      <alignment vertical="top"/>
    </xf>
    <xf numFmtId="9" fontId="7" fillId="0" borderId="8" xfId="0" applyNumberFormat="1" applyFont="1" applyBorder="1" applyAlignment="1">
      <alignment vertical="top"/>
    </xf>
    <xf numFmtId="0" fontId="10" fillId="0" borderId="0" xfId="0" applyFont="1" applyAlignment="1">
      <alignment vertical="top" wrapText="1"/>
    </xf>
    <xf numFmtId="168" fontId="7" fillId="3" borderId="8" xfId="0" applyNumberFormat="1" applyFont="1" applyFill="1" applyBorder="1" applyAlignment="1">
      <alignment vertical="top"/>
    </xf>
    <xf numFmtId="10" fontId="7" fillId="3" borderId="8" xfId="0" applyNumberFormat="1" applyFont="1" applyFill="1" applyBorder="1" applyAlignment="1">
      <alignment vertical="top"/>
    </xf>
    <xf numFmtId="0" fontId="11" fillId="0" borderId="0" xfId="0" applyFont="1" applyAlignment="1">
      <alignment horizontal="left" vertical="top" wrapText="1"/>
    </xf>
    <xf numFmtId="0" fontId="12" fillId="0" borderId="0" xfId="0" applyFont="1" applyAlignment="1">
      <alignment horizontal="left" vertical="center" wrapText="1"/>
    </xf>
    <xf numFmtId="169" fontId="7" fillId="3" borderId="8" xfId="0" applyNumberFormat="1" applyFont="1" applyFill="1" applyBorder="1" applyAlignment="1">
      <alignment vertical="top"/>
    </xf>
    <xf numFmtId="0" fontId="5" fillId="0" borderId="0" xfId="0" applyFont="1" applyAlignment="1">
      <alignment horizontal="right" vertical="top" wrapText="1"/>
    </xf>
    <xf numFmtId="164" fontId="7" fillId="0" borderId="0" xfId="0" applyNumberFormat="1" applyFont="1"/>
    <xf numFmtId="0" fontId="13" fillId="0" borderId="0" xfId="0" applyFont="1"/>
    <xf numFmtId="9" fontId="7" fillId="0" borderId="0" xfId="0" applyNumberFormat="1" applyFont="1"/>
    <xf numFmtId="9" fontId="7" fillId="3" borderId="8" xfId="0" applyNumberFormat="1" applyFont="1" applyFill="1" applyBorder="1"/>
    <xf numFmtId="167" fontId="7" fillId="0" borderId="0" xfId="0" applyNumberFormat="1" applyFont="1"/>
    <xf numFmtId="3" fontId="7" fillId="0" borderId="0" xfId="0" applyNumberFormat="1" applyFont="1"/>
    <xf numFmtId="167" fontId="7" fillId="3" borderId="8" xfId="0" applyNumberFormat="1" applyFont="1" applyFill="1" applyBorder="1"/>
    <xf numFmtId="3" fontId="7" fillId="3" borderId="8" xfId="0" applyNumberFormat="1" applyFont="1" applyFill="1" applyBorder="1"/>
    <xf numFmtId="3" fontId="15" fillId="0" borderId="0" xfId="0" applyNumberFormat="1" applyFont="1"/>
    <xf numFmtId="170" fontId="7" fillId="3" borderId="8" xfId="0" applyNumberFormat="1" applyFont="1" applyFill="1" applyBorder="1"/>
    <xf numFmtId="4" fontId="7" fillId="3" borderId="8" xfId="0" applyNumberFormat="1" applyFont="1" applyFill="1" applyBorder="1"/>
    <xf numFmtId="170" fontId="7" fillId="0" borderId="0" xfId="0" applyNumberFormat="1" applyFont="1"/>
    <xf numFmtId="164" fontId="15" fillId="0" borderId="0" xfId="0" applyNumberFormat="1" applyFont="1"/>
    <xf numFmtId="169" fontId="7" fillId="0" borderId="0" xfId="0" applyNumberFormat="1" applyFont="1"/>
    <xf numFmtId="169" fontId="7" fillId="3" borderId="8" xfId="0" applyNumberFormat="1" applyFont="1" applyFill="1" applyBorder="1"/>
    <xf numFmtId="0" fontId="5" fillId="0" borderId="1" xfId="0" applyFont="1" applyBorder="1" applyAlignment="1">
      <alignment horizontal="right" vertical="top" wrapText="1"/>
    </xf>
    <xf numFmtId="0" fontId="7" fillId="0" borderId="1" xfId="0" applyFont="1" applyBorder="1" applyAlignment="1">
      <alignment vertical="top"/>
    </xf>
    <xf numFmtId="3" fontId="7" fillId="0" borderId="1" xfId="0" applyNumberFormat="1" applyFont="1" applyBorder="1"/>
    <xf numFmtId="0" fontId="16" fillId="0" borderId="0" xfId="0" applyFont="1"/>
    <xf numFmtId="0" fontId="7" fillId="0" borderId="1" xfId="0" applyFont="1" applyBorder="1"/>
    <xf numFmtId="164" fontId="7" fillId="0" borderId="1" xfId="0" applyNumberFormat="1" applyFont="1" applyBorder="1"/>
    <xf numFmtId="0" fontId="4" fillId="0" borderId="1" xfId="0" applyFont="1" applyBorder="1" applyAlignment="1">
      <alignment horizontal="left" vertical="top"/>
    </xf>
    <xf numFmtId="0" fontId="4" fillId="0" borderId="1" xfId="0" applyFont="1" applyBorder="1" applyAlignment="1">
      <alignment vertical="top"/>
    </xf>
    <xf numFmtId="0" fontId="13" fillId="0" borderId="1" xfId="0" applyFont="1" applyBorder="1"/>
    <xf numFmtId="9" fontId="7" fillId="0" borderId="1" xfId="0" applyNumberFormat="1" applyFont="1" applyBorder="1"/>
    <xf numFmtId="0" fontId="8" fillId="0" borderId="1" xfId="0" applyFont="1" applyBorder="1" applyAlignment="1">
      <alignment vertical="top"/>
    </xf>
    <xf numFmtId="0" fontId="5" fillId="0" borderId="1" xfId="0" applyFont="1" applyBorder="1" applyAlignment="1">
      <alignment vertical="top"/>
    </xf>
    <xf numFmtId="171" fontId="17" fillId="0" borderId="0" xfId="0" applyNumberFormat="1" applyFont="1"/>
    <xf numFmtId="172" fontId="18" fillId="0" borderId="0" xfId="0" applyNumberFormat="1" applyFont="1"/>
    <xf numFmtId="172" fontId="19" fillId="0" borderId="0" xfId="0" applyNumberFormat="1" applyFont="1"/>
    <xf numFmtId="0" fontId="7" fillId="0" borderId="0" xfId="0" applyFont="1"/>
    <xf numFmtId="0" fontId="7" fillId="0" borderId="10" xfId="0" applyFont="1" applyBorder="1"/>
    <xf numFmtId="10" fontId="7" fillId="0" borderId="11" xfId="0" applyNumberFormat="1" applyFont="1" applyBorder="1"/>
    <xf numFmtId="0" fontId="7" fillId="0" borderId="12" xfId="0" applyFont="1" applyBorder="1"/>
    <xf numFmtId="10" fontId="7" fillId="0" borderId="13" xfId="0" applyNumberFormat="1" applyFont="1" applyBorder="1"/>
    <xf numFmtId="0" fontId="7" fillId="0" borderId="14" xfId="0" applyFont="1" applyBorder="1"/>
    <xf numFmtId="0" fontId="7" fillId="0" borderId="15" xfId="0" applyFont="1" applyBorder="1"/>
    <xf numFmtId="0" fontId="19" fillId="0" borderId="16" xfId="0" applyFont="1" applyBorder="1"/>
    <xf numFmtId="0" fontId="7" fillId="0" borderId="17" xfId="0" applyFont="1" applyBorder="1"/>
    <xf numFmtId="0" fontId="7" fillId="0" borderId="13" xfId="0" applyFont="1" applyBorder="1"/>
    <xf numFmtId="0" fontId="20" fillId="0" borderId="0" xfId="0" applyFont="1"/>
    <xf numFmtId="167" fontId="7" fillId="0" borderId="13" xfId="0" applyNumberFormat="1" applyFont="1" applyBorder="1"/>
    <xf numFmtId="10" fontId="7" fillId="0" borderId="15" xfId="0" applyNumberFormat="1" applyFont="1" applyBorder="1"/>
    <xf numFmtId="10" fontId="7" fillId="0" borderId="0" xfId="0" applyNumberFormat="1" applyFont="1"/>
    <xf numFmtId="0" fontId="1" fillId="0" borderId="0" xfId="0" applyFont="1" applyAlignment="1">
      <alignment horizontal="center" vertical="top"/>
    </xf>
    <xf numFmtId="0" fontId="0" fillId="0" borderId="0" xfId="0"/>
    <xf numFmtId="0" fontId="5" fillId="2" borderId="5" xfId="0" applyFont="1" applyFill="1" applyBorder="1" applyAlignment="1">
      <alignment horizontal="center" vertical="top"/>
    </xf>
    <xf numFmtId="0" fontId="9" fillId="0" borderId="6" xfId="0" applyFont="1" applyBorder="1"/>
    <xf numFmtId="0" fontId="9" fillId="0" borderId="7" xfId="0" applyFont="1" applyBorder="1"/>
    <xf numFmtId="0" fontId="14" fillId="0" borderId="0" xfId="0" applyFont="1" applyAlignment="1">
      <alignment horizontal="center"/>
    </xf>
    <xf numFmtId="0" fontId="14" fillId="0" borderId="0" xfId="0" applyFont="1" applyAlignment="1">
      <alignment horizontal="center" vertical="center"/>
    </xf>
    <xf numFmtId="164" fontId="7" fillId="0" borderId="0" xfId="0" applyNumberFormat="1" applyFont="1" applyAlignment="1">
      <alignment vertical="top"/>
    </xf>
    <xf numFmtId="43" fontId="0" fillId="0" borderId="0" xfId="1" applyFont="1"/>
    <xf numFmtId="43" fontId="0" fillId="0" borderId="0" xfId="0" applyNumberFormat="1"/>
    <xf numFmtId="167" fontId="7" fillId="5" borderId="0" xfId="0" applyNumberFormat="1" applyFont="1" applyFill="1" applyAlignment="1">
      <alignment vertical="top"/>
    </xf>
    <xf numFmtId="164" fontId="7" fillId="0" borderId="18" xfId="0" applyNumberFormat="1" applyFont="1" applyBorder="1"/>
    <xf numFmtId="0" fontId="23" fillId="4" borderId="9" xfId="0" applyFont="1" applyFill="1" applyBorder="1"/>
    <xf numFmtId="164" fontId="23" fillId="4" borderId="9" xfId="0" applyNumberFormat="1" applyFont="1" applyFill="1" applyBorder="1"/>
    <xf numFmtId="0" fontId="24" fillId="4" borderId="8" xfId="0" applyFont="1" applyFill="1" applyBorder="1" applyAlignment="1">
      <alignment vertical="top"/>
    </xf>
    <xf numFmtId="0" fontId="25" fillId="4" borderId="8" xfId="0" applyFont="1" applyFill="1" applyBorder="1"/>
    <xf numFmtId="164" fontId="25" fillId="4" borderId="8" xfId="0" applyNumberFormat="1" applyFont="1" applyFill="1" applyBorder="1"/>
    <xf numFmtId="164" fontId="7" fillId="6" borderId="0" xfId="0" applyNumberFormat="1" applyFont="1" applyFill="1"/>
    <xf numFmtId="164" fontId="0" fillId="0" borderId="0" xfId="0" applyNumberFormat="1"/>
    <xf numFmtId="9" fontId="7" fillId="6" borderId="18" xfId="2" applyFont="1" applyFill="1" applyBorder="1"/>
    <xf numFmtId="9" fontId="7" fillId="0" borderId="18" xfId="2" applyFont="1" applyBorder="1"/>
    <xf numFmtId="164" fontId="7" fillId="6" borderId="18" xfId="0" applyNumberFormat="1" applyFont="1" applyFill="1" applyBorder="1"/>
    <xf numFmtId="164" fontId="7" fillId="0" borderId="0" xfId="0" applyNumberFormat="1" applyFont="1" applyFill="1"/>
    <xf numFmtId="165" fontId="0" fillId="0" borderId="0" xfId="0" applyNumberFormat="1"/>
    <xf numFmtId="2" fontId="7" fillId="0" borderId="13" xfId="0" applyNumberFormat="1" applyFont="1" applyBorder="1"/>
    <xf numFmtId="0" fontId="23" fillId="4" borderId="8" xfId="0" applyFont="1" applyFill="1" applyBorder="1"/>
    <xf numFmtId="167" fontId="23" fillId="4" borderId="8" xfId="0" applyNumberFormat="1" applyFont="1" applyFill="1" applyBorder="1"/>
    <xf numFmtId="0" fontId="26" fillId="0" borderId="0" xfId="0" applyFont="1"/>
    <xf numFmtId="189" fontId="0" fillId="0" borderId="0" xfId="1" applyNumberFormat="1"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9</xdr:col>
      <xdr:colOff>425450</xdr:colOff>
      <xdr:row>0</xdr:row>
      <xdr:rowOff>204787</xdr:rowOff>
    </xdr:from>
    <xdr:ext cx="7486650" cy="48863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9569450" y="204787"/>
          <a:ext cx="7486650" cy="48863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13</xdr:row>
      <xdr:rowOff>133350</xdr:rowOff>
    </xdr:from>
    <xdr:ext cx="4067175" cy="1790700"/>
    <xdr:pic>
      <xdr:nvPicPr>
        <xdr:cNvPr id="2" name="image2.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504825</xdr:colOff>
      <xdr:row>2</xdr:row>
      <xdr:rowOff>47625</xdr:rowOff>
    </xdr:from>
    <xdr:ext cx="2276475" cy="1266825"/>
    <xdr:pic>
      <xdr:nvPicPr>
        <xdr:cNvPr id="2" name="image3.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7540625" y="403225"/>
          <a:ext cx="2276475" cy="126682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Deepa Mishra" id="{F9F1B762-B75D-4CFD-9F19-7FBBF3F68410}" userId="79fd0d23e13f4d2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8" dT="2026-05-20T13:40:09.55" personId="{F9F1B762-B75D-4CFD-9F19-7FBBF3F68410}" id="{F294D133-68BA-4299-A6DF-E7B687C957DF}">
    <text>Intent is to have a average standard growth rate</text>
  </threadedComment>
  <threadedComment ref="E11" dT="2026-05-20T11:42:31.93" personId="{F9F1B762-B75D-4CFD-9F19-7FBBF3F68410}" id="{F121C123-95FC-4F3E-A937-36C59E968656}">
    <text>Assumption- constant</text>
  </threadedComment>
  <threadedComment ref="H20" dT="2026-05-20T13:20:40.63" personId="{F9F1B762-B75D-4CFD-9F19-7FBBF3F68410}" id="{B28CC29E-1FDB-468C-8E23-CCD592FCF096}">
    <text>Assumption- the decline in the growth rate. Also, it is crucial to ascertain accurate rate for last year as it will determine the valuation</text>
  </threadedComment>
  <threadedComment ref="F34" dT="2026-05-20T13:41:32.43" personId="{F9F1B762-B75D-4CFD-9F19-7FBBF3F68410}" id="{FF9C46F4-3973-4B7C-ADA2-378ADEDC3E29}">
    <text>Taken assumption of such high growth rate given past trends</text>
  </threadedComment>
  <threadedComment ref="H34" dT="2026-05-20T13:42:10.26" personId="{F9F1B762-B75D-4CFD-9F19-7FBBF3F68410}" id="{336F1176-B49D-4D9C-BAC4-F5459CC988D1}">
    <text>A bit conservative approach towards the end since the final year will decide the valuation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5" dT="2026-05-20T15:12:24.16" personId="{F9F1B762-B75D-4CFD-9F19-7FBBF3F68410}" id="{A3A84B31-9B83-49FD-B0A6-76A21775140E}">
    <text>Reverse calculated the value using other factors available- opening and closing balance and depreciation</text>
  </threadedComment>
  <threadedComment ref="B6" dT="2026-05-20T15:10:09.08" personId="{F9F1B762-B75D-4CFD-9F19-7FBBF3F68410}" id="{EA21F34C-77C8-4075-A9A4-E569CCFF3DFB}">
    <text>We have to look for depreciation in the notes as it is an important element. The following was picked from the financials and not assumed</text>
  </threadedComment>
  <threadedComment ref="C9" dT="2026-05-20T15:18:11.00" personId="{F9F1B762-B75D-4CFD-9F19-7FBBF3F68410}" id="{DB539148-1D0A-456B-A5AE-325E70D7AD5F}">
    <text>Current life= opening + caepex / depreciation = useful life</text>
  </threadedComment>
  <threadedComment ref="H28" dT="2026-05-20T16:27:53.24" personId="{F9F1B762-B75D-4CFD-9F19-7FBBF3F68410}" id="{72C3E5C7-A66A-40C6-889B-9D17F1BB7EBF}">
    <text>4.5 is a good estimate since its close to 4.875% given in debt schedule- the very last payment</text>
  </threadedComment>
</ThreadedComments>
</file>

<file path=xl/threadedComments/threadedComment3.xml><?xml version="1.0" encoding="utf-8"?>
<ThreadedComments xmlns="http://schemas.microsoft.com/office/spreadsheetml/2018/threadedcomments" xmlns:x="http://schemas.openxmlformats.org/spreadsheetml/2006/main">
  <threadedComment ref="B10" dT="2026-05-20T19:49:50.63" personId="{F9F1B762-B75D-4CFD-9F19-7FBBF3F68410}" id="{BF4EA93C-F064-4640-9AA4-5B89B87D1053}">
    <text>Refer to the debt schedule, it needs to be the rate at which company has taken the latest loan/debt</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workbookViewId="0">
      <selection activeCell="E10" sqref="E10"/>
    </sheetView>
  </sheetViews>
  <sheetFormatPr defaultColWidth="14.453125" defaultRowHeight="15" customHeight="1"/>
  <cols>
    <col min="1" max="1" width="35" customWidth="1"/>
    <col min="2" max="4" width="14" customWidth="1"/>
    <col min="5" max="6" width="10.26953125" customWidth="1"/>
    <col min="7" max="11" width="9.08984375" customWidth="1"/>
  </cols>
  <sheetData>
    <row r="1" spans="1:11" ht="25">
      <c r="A1" s="88" t="s">
        <v>0</v>
      </c>
      <c r="B1" s="89"/>
      <c r="C1" s="89"/>
      <c r="D1" s="89"/>
      <c r="E1" s="1"/>
      <c r="F1" s="1"/>
      <c r="G1" s="1"/>
      <c r="H1" s="1"/>
      <c r="I1" s="1"/>
      <c r="J1" s="1"/>
      <c r="K1" s="1"/>
    </row>
    <row r="2" spans="1:11" ht="12.75" customHeight="1">
      <c r="A2" s="2" t="s">
        <v>1</v>
      </c>
      <c r="B2" s="3" t="s">
        <v>2</v>
      </c>
      <c r="C2" s="3" t="s">
        <v>3</v>
      </c>
      <c r="D2" s="3" t="s">
        <v>4</v>
      </c>
      <c r="E2" s="1"/>
      <c r="F2" s="1"/>
      <c r="G2" s="4"/>
      <c r="H2" s="1"/>
      <c r="I2" s="1"/>
      <c r="J2" s="1"/>
      <c r="K2" s="1"/>
    </row>
    <row r="3" spans="1:11" ht="12.75" customHeight="1">
      <c r="A3" s="5" t="s">
        <v>5</v>
      </c>
      <c r="B3" s="6">
        <v>15794341</v>
      </c>
      <c r="C3" s="6">
        <v>20156447</v>
      </c>
      <c r="D3" s="6">
        <v>24996056</v>
      </c>
      <c r="E3" s="1"/>
      <c r="F3" s="1"/>
      <c r="G3" s="4"/>
      <c r="H3" s="1"/>
      <c r="I3" s="1"/>
      <c r="J3" s="1"/>
      <c r="K3" s="1"/>
    </row>
    <row r="4" spans="1:11" ht="12.75" customHeight="1">
      <c r="A4" s="7" t="s">
        <v>6</v>
      </c>
      <c r="B4" s="6">
        <v>9967538</v>
      </c>
      <c r="C4" s="6">
        <v>12440213</v>
      </c>
      <c r="D4" s="6">
        <v>15276319</v>
      </c>
      <c r="E4" s="1"/>
      <c r="F4" s="1"/>
      <c r="G4" s="4"/>
      <c r="H4" s="1"/>
      <c r="I4" s="1"/>
      <c r="J4" s="1"/>
      <c r="K4" s="1"/>
    </row>
    <row r="5" spans="1:11" ht="12.75" customHeight="1">
      <c r="A5" s="7" t="s">
        <v>7</v>
      </c>
      <c r="B5" s="6">
        <v>2369469</v>
      </c>
      <c r="C5" s="6">
        <v>2652462</v>
      </c>
      <c r="D5" s="6">
        <v>2228362</v>
      </c>
      <c r="E5" s="1"/>
      <c r="F5" s="1"/>
      <c r="G5" s="4"/>
      <c r="H5" s="1"/>
      <c r="I5" s="1"/>
      <c r="J5" s="1"/>
      <c r="K5" s="1"/>
    </row>
    <row r="6" spans="1:11" ht="12.75" customHeight="1">
      <c r="A6" s="7" t="s">
        <v>8</v>
      </c>
      <c r="B6" s="6">
        <v>1221814</v>
      </c>
      <c r="C6" s="6">
        <v>1545149</v>
      </c>
      <c r="D6" s="6">
        <v>1829600</v>
      </c>
      <c r="E6" s="1"/>
      <c r="F6" s="1"/>
      <c r="G6" s="4"/>
      <c r="H6" s="1"/>
      <c r="I6" s="1"/>
      <c r="J6" s="1"/>
      <c r="K6" s="1"/>
    </row>
    <row r="7" spans="1:11" ht="12.75" customHeight="1">
      <c r="A7" s="7" t="s">
        <v>9</v>
      </c>
      <c r="B7" s="6">
        <v>630294</v>
      </c>
      <c r="C7" s="6">
        <v>914369</v>
      </c>
      <c r="D7" s="6">
        <v>1076486</v>
      </c>
      <c r="E7" s="1"/>
      <c r="F7" s="1"/>
      <c r="G7" s="4"/>
      <c r="H7" s="1"/>
      <c r="I7" s="1"/>
      <c r="J7" s="1"/>
      <c r="K7" s="1"/>
    </row>
    <row r="8" spans="1:11" ht="12.75" customHeight="1">
      <c r="A8" s="7" t="s">
        <v>10</v>
      </c>
      <c r="B8" s="6">
        <v>1605226</v>
      </c>
      <c r="C8" s="6">
        <v>2604254</v>
      </c>
      <c r="D8" s="6">
        <v>4585289</v>
      </c>
      <c r="E8" s="1"/>
      <c r="F8" s="1"/>
      <c r="G8" s="4"/>
      <c r="H8" s="1"/>
      <c r="I8" s="1"/>
      <c r="J8" s="1"/>
      <c r="K8" s="1"/>
    </row>
    <row r="9" spans="1:11" ht="12.75" customHeight="1">
      <c r="A9" s="5" t="s">
        <v>11</v>
      </c>
      <c r="B9" s="6"/>
      <c r="C9" s="6"/>
      <c r="D9" s="6"/>
      <c r="E9" s="1"/>
      <c r="F9" s="1"/>
      <c r="G9" s="4"/>
      <c r="H9" s="1"/>
      <c r="I9" s="1"/>
      <c r="J9" s="1"/>
      <c r="K9" s="1"/>
    </row>
    <row r="10" spans="1:11" ht="12.75" customHeight="1">
      <c r="A10" s="8" t="s">
        <v>12</v>
      </c>
      <c r="B10" s="6">
        <v>-420493</v>
      </c>
      <c r="C10" s="6">
        <v>-626023</v>
      </c>
      <c r="D10" s="6">
        <v>-767499</v>
      </c>
      <c r="E10" s="1"/>
      <c r="F10" s="1"/>
      <c r="G10" s="8"/>
      <c r="H10" s="1"/>
      <c r="I10" s="1"/>
      <c r="J10" s="1"/>
      <c r="K10" s="1"/>
    </row>
    <row r="11" spans="1:11" ht="12.75" customHeight="1">
      <c r="A11" s="8" t="s">
        <v>13</v>
      </c>
      <c r="B11" s="6">
        <v>41725</v>
      </c>
      <c r="C11" s="6">
        <v>84000</v>
      </c>
      <c r="D11" s="6">
        <v>-618441</v>
      </c>
      <c r="E11" s="1"/>
      <c r="F11" s="1"/>
      <c r="G11" s="4"/>
      <c r="H11" s="1"/>
      <c r="I11" s="1"/>
      <c r="J11" s="1"/>
      <c r="K11" s="1"/>
    </row>
    <row r="12" spans="1:11" ht="12.75" customHeight="1">
      <c r="A12" s="9" t="s">
        <v>14</v>
      </c>
      <c r="B12" s="6">
        <v>1226458</v>
      </c>
      <c r="C12" s="6">
        <v>2062231</v>
      </c>
      <c r="D12" s="6">
        <v>3199349</v>
      </c>
      <c r="E12" s="1"/>
      <c r="F12" s="1"/>
      <c r="G12" s="4"/>
      <c r="H12" s="1"/>
      <c r="I12" s="1"/>
      <c r="J12" s="1"/>
      <c r="K12" s="1"/>
    </row>
    <row r="13" spans="1:11" ht="12.75" customHeight="1">
      <c r="A13" s="9" t="s">
        <v>15</v>
      </c>
      <c r="B13" s="6">
        <v>-15216</v>
      </c>
      <c r="C13" s="6">
        <v>-195315</v>
      </c>
      <c r="D13" s="6">
        <v>-437954</v>
      </c>
      <c r="E13" s="1"/>
      <c r="F13" s="1"/>
      <c r="G13" s="4"/>
      <c r="H13" s="1"/>
      <c r="I13" s="1"/>
      <c r="J13" s="1"/>
      <c r="K13" s="1"/>
    </row>
    <row r="14" spans="1:11" ht="12.75" customHeight="1">
      <c r="A14" s="9" t="s">
        <v>16</v>
      </c>
      <c r="B14" s="6">
        <v>1211242</v>
      </c>
      <c r="C14" s="6">
        <v>1866916</v>
      </c>
      <c r="D14" s="6">
        <v>2761395</v>
      </c>
      <c r="E14" s="1"/>
      <c r="F14" s="1"/>
      <c r="G14" s="4"/>
      <c r="H14" s="1"/>
      <c r="I14" s="1"/>
      <c r="J14" s="1"/>
      <c r="K14" s="1"/>
    </row>
    <row r="15" spans="1:11" ht="12.75" customHeight="1">
      <c r="A15" s="5"/>
      <c r="B15" s="5"/>
      <c r="C15" s="5"/>
      <c r="D15" s="5"/>
      <c r="E15" s="1"/>
      <c r="F15" s="1"/>
      <c r="G15" s="4"/>
      <c r="H15" s="1"/>
      <c r="I15" s="1"/>
      <c r="J15" s="1"/>
      <c r="K15" s="1"/>
    </row>
    <row r="16" spans="1:11" ht="12.75" customHeight="1">
      <c r="A16" s="5"/>
      <c r="B16" s="5"/>
      <c r="C16" s="5"/>
      <c r="D16" s="5"/>
      <c r="E16" s="5"/>
      <c r="F16" s="1"/>
      <c r="G16" s="5"/>
      <c r="H16" s="1"/>
      <c r="I16" s="1"/>
      <c r="J16" s="1"/>
      <c r="K16" s="1"/>
    </row>
    <row r="17" spans="1:11" ht="12.75" customHeight="1">
      <c r="A17" s="5"/>
      <c r="B17" s="5"/>
      <c r="C17" s="5"/>
      <c r="D17" s="5"/>
      <c r="E17" s="5"/>
      <c r="F17" s="1"/>
      <c r="G17" s="5"/>
      <c r="H17" s="1"/>
      <c r="I17" s="1"/>
      <c r="J17" s="1"/>
      <c r="K17" s="1"/>
    </row>
    <row r="18" spans="1:11" ht="12.75" customHeight="1">
      <c r="A18" s="5"/>
      <c r="B18" s="1"/>
      <c r="C18" s="1"/>
      <c r="D18" s="1"/>
      <c r="E18" s="1"/>
      <c r="F18" s="1"/>
      <c r="G18" s="4"/>
      <c r="H18" s="1"/>
      <c r="I18" s="1"/>
      <c r="J18" s="1"/>
      <c r="K18" s="1"/>
    </row>
    <row r="19" spans="1:11" ht="12.75" customHeight="1">
      <c r="A19" s="5"/>
      <c r="B19" s="1"/>
      <c r="C19" s="1"/>
      <c r="D19" s="1"/>
      <c r="E19" s="1"/>
      <c r="F19" s="1"/>
      <c r="G19" s="4"/>
      <c r="H19" s="1"/>
      <c r="I19" s="1"/>
      <c r="J19" s="1"/>
      <c r="K19" s="1"/>
    </row>
    <row r="20" spans="1:11" ht="12.75" customHeight="1">
      <c r="A20" s="1"/>
      <c r="B20" s="1"/>
      <c r="C20" s="1"/>
      <c r="D20" s="1"/>
      <c r="E20" s="1"/>
      <c r="F20" s="1"/>
      <c r="G20" s="1"/>
      <c r="H20" s="1"/>
      <c r="I20" s="1"/>
      <c r="J20" s="1"/>
      <c r="K20" s="1"/>
    </row>
    <row r="21" spans="1:11" ht="12.75" customHeight="1">
      <c r="A21" s="1"/>
      <c r="B21" s="1"/>
      <c r="C21" s="1"/>
      <c r="D21" s="1"/>
      <c r="E21" s="1"/>
      <c r="F21" s="1"/>
      <c r="G21" s="1"/>
      <c r="H21" s="1"/>
      <c r="I21" s="1"/>
      <c r="J21" s="1"/>
      <c r="K21" s="1"/>
    </row>
    <row r="22" spans="1:11" ht="12.75" customHeight="1">
      <c r="A22" s="1"/>
      <c r="B22" s="1"/>
      <c r="C22" s="1"/>
      <c r="D22" s="1"/>
      <c r="E22" s="1"/>
      <c r="F22" s="1"/>
      <c r="G22" s="1"/>
      <c r="H22" s="1"/>
      <c r="I22" s="1"/>
      <c r="J22" s="1"/>
      <c r="K22" s="1"/>
    </row>
    <row r="23" spans="1:11" ht="12.75" customHeight="1">
      <c r="A23" s="1"/>
      <c r="B23" s="1"/>
      <c r="C23" s="1"/>
      <c r="D23" s="1"/>
      <c r="E23" s="1"/>
      <c r="F23" s="1"/>
      <c r="G23" s="1"/>
      <c r="H23" s="1"/>
      <c r="I23" s="1"/>
      <c r="J23" s="1"/>
      <c r="K23" s="1"/>
    </row>
    <row r="24" spans="1:11" ht="12.75" customHeight="1">
      <c r="A24" s="1"/>
      <c r="B24" s="1"/>
      <c r="C24" s="1"/>
      <c r="D24" s="1"/>
      <c r="E24" s="1"/>
      <c r="F24" s="1"/>
      <c r="G24" s="1"/>
      <c r="H24" s="1"/>
      <c r="I24" s="1"/>
      <c r="J24" s="1"/>
      <c r="K24" s="1"/>
    </row>
    <row r="25" spans="1:11" ht="12.75" customHeight="1">
      <c r="A25" s="1"/>
      <c r="B25" s="1"/>
      <c r="C25" s="1"/>
      <c r="D25" s="1"/>
      <c r="E25" s="1"/>
      <c r="F25" s="1"/>
      <c r="G25" s="1"/>
      <c r="H25" s="1"/>
      <c r="I25" s="1"/>
      <c r="J25" s="1"/>
      <c r="K25" s="1"/>
    </row>
    <row r="26" spans="1:11" ht="12.75" customHeight="1">
      <c r="A26" s="1"/>
      <c r="B26" s="1"/>
      <c r="C26" s="1"/>
      <c r="D26" s="1"/>
      <c r="E26" s="1"/>
      <c r="F26" s="1"/>
      <c r="G26" s="1"/>
      <c r="H26" s="1"/>
      <c r="I26" s="1"/>
      <c r="J26" s="1"/>
      <c r="K26" s="1"/>
    </row>
    <row r="27" spans="1:11" ht="12.75" customHeight="1">
      <c r="A27" s="1"/>
      <c r="B27" s="1"/>
      <c r="C27" s="1"/>
      <c r="D27" s="1"/>
      <c r="E27" s="1"/>
      <c r="F27" s="1"/>
      <c r="G27" s="1"/>
      <c r="H27" s="1"/>
      <c r="I27" s="1"/>
      <c r="J27" s="1"/>
      <c r="K27" s="1"/>
    </row>
    <row r="28" spans="1:11" ht="12.75" customHeight="1">
      <c r="A28" s="1"/>
      <c r="B28" s="1"/>
      <c r="C28" s="1"/>
      <c r="D28" s="1"/>
      <c r="E28" s="1"/>
      <c r="F28" s="1"/>
      <c r="G28" s="1"/>
      <c r="H28" s="1"/>
      <c r="I28" s="1"/>
      <c r="J28" s="1"/>
      <c r="K28" s="1"/>
    </row>
    <row r="29" spans="1:11" ht="12.75" customHeight="1">
      <c r="A29" s="1"/>
      <c r="B29" s="1"/>
      <c r="C29" s="1"/>
      <c r="D29" s="1"/>
      <c r="E29" s="1"/>
      <c r="F29" s="1"/>
      <c r="G29" s="1"/>
      <c r="H29" s="1"/>
      <c r="I29" s="1"/>
      <c r="J29" s="1"/>
      <c r="K29" s="1"/>
    </row>
    <row r="30" spans="1:11" ht="12.75" customHeight="1">
      <c r="A30" s="1"/>
      <c r="B30" s="1"/>
      <c r="C30" s="1"/>
      <c r="D30" s="1"/>
      <c r="E30" s="1"/>
      <c r="F30" s="1"/>
      <c r="G30" s="1"/>
      <c r="H30" s="1"/>
      <c r="I30" s="1"/>
      <c r="J30" s="1"/>
      <c r="K30" s="1"/>
    </row>
    <row r="31" spans="1:11" ht="12.75" customHeight="1">
      <c r="A31" s="1"/>
      <c r="B31" s="1"/>
      <c r="C31" s="1"/>
      <c r="D31" s="1"/>
      <c r="E31" s="1"/>
      <c r="F31" s="1"/>
      <c r="G31" s="1"/>
      <c r="H31" s="1"/>
      <c r="I31" s="1"/>
      <c r="J31" s="1"/>
      <c r="K31" s="1"/>
    </row>
    <row r="32" spans="1:11" ht="12.75" customHeight="1">
      <c r="A32" s="1"/>
      <c r="B32" s="1"/>
      <c r="C32" s="1"/>
      <c r="D32" s="1"/>
      <c r="E32" s="1"/>
      <c r="F32" s="1"/>
      <c r="G32" s="1"/>
      <c r="H32" s="1"/>
      <c r="I32" s="1"/>
      <c r="J32" s="1"/>
      <c r="K32" s="1"/>
    </row>
    <row r="33" spans="1:11" ht="12.75" customHeight="1">
      <c r="A33" s="1"/>
      <c r="B33" s="1"/>
      <c r="C33" s="1"/>
      <c r="D33" s="1"/>
      <c r="E33" s="1"/>
      <c r="F33" s="1"/>
      <c r="G33" s="1"/>
      <c r="H33" s="1"/>
      <c r="I33" s="1"/>
      <c r="J33" s="1"/>
      <c r="K33" s="1"/>
    </row>
    <row r="34" spans="1:11" ht="12.75" customHeight="1">
      <c r="A34" s="1"/>
      <c r="B34" s="1"/>
      <c r="C34" s="1"/>
      <c r="D34" s="1"/>
      <c r="E34" s="1"/>
      <c r="F34" s="1"/>
      <c r="G34" s="1"/>
      <c r="H34" s="1"/>
      <c r="I34" s="1"/>
      <c r="J34" s="1"/>
      <c r="K34" s="1"/>
    </row>
    <row r="35" spans="1:11" ht="12.75" customHeight="1">
      <c r="A35" s="1"/>
      <c r="B35" s="1"/>
      <c r="C35" s="1"/>
      <c r="D35" s="1"/>
      <c r="E35" s="1"/>
      <c r="F35" s="1"/>
      <c r="G35" s="1"/>
      <c r="H35" s="1"/>
      <c r="I35" s="1"/>
      <c r="J35" s="1"/>
      <c r="K35" s="1"/>
    </row>
    <row r="36" spans="1:11" ht="12.75" customHeight="1">
      <c r="A36" s="1"/>
      <c r="B36" s="1"/>
      <c r="C36" s="1"/>
      <c r="D36" s="1"/>
      <c r="E36" s="1"/>
      <c r="F36" s="1"/>
      <c r="G36" s="1"/>
      <c r="H36" s="1"/>
      <c r="I36" s="1"/>
      <c r="J36" s="1"/>
      <c r="K36" s="1"/>
    </row>
    <row r="37" spans="1:11" ht="12.75" customHeight="1">
      <c r="A37" s="1"/>
      <c r="B37" s="1"/>
      <c r="C37" s="1"/>
      <c r="D37" s="1"/>
      <c r="E37" s="1"/>
      <c r="F37" s="1"/>
      <c r="G37" s="1"/>
      <c r="H37" s="1"/>
      <c r="I37" s="1"/>
      <c r="J37" s="1"/>
      <c r="K37" s="1"/>
    </row>
    <row r="38" spans="1:11" ht="12.75" customHeight="1">
      <c r="A38" s="1"/>
      <c r="B38" s="1"/>
      <c r="C38" s="1"/>
      <c r="D38" s="1"/>
      <c r="E38" s="1"/>
      <c r="F38" s="1"/>
      <c r="G38" s="1"/>
      <c r="H38" s="1"/>
      <c r="I38" s="1"/>
      <c r="J38" s="1"/>
      <c r="K38" s="1"/>
    </row>
    <row r="39" spans="1:11" ht="12.75" customHeight="1">
      <c r="A39" s="1"/>
      <c r="B39" s="1"/>
      <c r="C39" s="1"/>
      <c r="D39" s="1"/>
      <c r="E39" s="1"/>
      <c r="F39" s="1"/>
      <c r="G39" s="1"/>
      <c r="H39" s="1"/>
      <c r="I39" s="1"/>
      <c r="J39" s="1"/>
      <c r="K39" s="1"/>
    </row>
    <row r="40" spans="1:11" ht="12.75" customHeight="1">
      <c r="A40" s="1"/>
      <c r="B40" s="1"/>
      <c r="C40" s="1"/>
      <c r="D40" s="1"/>
      <c r="E40" s="1"/>
      <c r="F40" s="1"/>
      <c r="G40" s="1"/>
      <c r="H40" s="1"/>
      <c r="I40" s="1"/>
      <c r="J40" s="1"/>
      <c r="K40" s="1"/>
    </row>
    <row r="41" spans="1:11" ht="12.75" customHeight="1">
      <c r="A41" s="1"/>
      <c r="B41" s="1"/>
      <c r="C41" s="1"/>
      <c r="D41" s="1"/>
      <c r="E41" s="1"/>
      <c r="F41" s="1"/>
      <c r="G41" s="1"/>
      <c r="H41" s="1"/>
      <c r="I41" s="1"/>
      <c r="J41" s="1"/>
      <c r="K41" s="1"/>
    </row>
    <row r="42" spans="1:11" ht="12.75" customHeight="1">
      <c r="A42" s="1"/>
      <c r="B42" s="1"/>
      <c r="C42" s="1"/>
      <c r="D42" s="1"/>
      <c r="E42" s="1"/>
      <c r="F42" s="1"/>
      <c r="G42" s="1"/>
      <c r="H42" s="1"/>
      <c r="I42" s="1"/>
      <c r="J42" s="1"/>
      <c r="K42" s="1"/>
    </row>
    <row r="43" spans="1:11" ht="12.75" customHeight="1">
      <c r="A43" s="1"/>
      <c r="B43" s="1"/>
      <c r="C43" s="1"/>
      <c r="D43" s="1"/>
      <c r="E43" s="1"/>
      <c r="F43" s="1"/>
      <c r="G43" s="1"/>
      <c r="H43" s="1"/>
      <c r="I43" s="1"/>
      <c r="J43" s="1"/>
      <c r="K43" s="1"/>
    </row>
    <row r="44" spans="1:11" ht="12.75" customHeight="1">
      <c r="A44" s="1"/>
      <c r="B44" s="1"/>
      <c r="C44" s="1"/>
      <c r="D44" s="1"/>
      <c r="E44" s="1"/>
      <c r="F44" s="1"/>
      <c r="G44" s="1"/>
      <c r="H44" s="1"/>
      <c r="I44" s="1"/>
      <c r="J44" s="1"/>
      <c r="K44" s="1"/>
    </row>
    <row r="45" spans="1:11" ht="12.75" customHeight="1">
      <c r="A45" s="1"/>
      <c r="B45" s="1"/>
      <c r="C45" s="1"/>
      <c r="D45" s="1"/>
      <c r="E45" s="1"/>
      <c r="F45" s="1"/>
      <c r="G45" s="1"/>
      <c r="H45" s="1"/>
      <c r="I45" s="1"/>
      <c r="J45" s="1"/>
      <c r="K45" s="1"/>
    </row>
    <row r="46" spans="1:11" ht="12.75" customHeight="1">
      <c r="A46" s="1"/>
      <c r="B46" s="1"/>
      <c r="C46" s="1"/>
      <c r="D46" s="1"/>
      <c r="E46" s="1"/>
      <c r="F46" s="1"/>
      <c r="G46" s="1"/>
      <c r="H46" s="1"/>
      <c r="I46" s="1"/>
      <c r="J46" s="1"/>
      <c r="K46" s="1"/>
    </row>
    <row r="47" spans="1:11" ht="12.75" customHeight="1">
      <c r="A47" s="1"/>
      <c r="B47" s="1"/>
      <c r="C47" s="1"/>
      <c r="D47" s="1"/>
      <c r="E47" s="1"/>
      <c r="F47" s="1"/>
      <c r="G47" s="1"/>
      <c r="H47" s="1"/>
      <c r="I47" s="1"/>
      <c r="J47" s="1"/>
      <c r="K47" s="1"/>
    </row>
    <row r="48" spans="1:11" ht="12.75" customHeight="1">
      <c r="A48" s="1"/>
      <c r="B48" s="1"/>
      <c r="C48" s="1"/>
      <c r="D48" s="1"/>
      <c r="E48" s="1"/>
      <c r="F48" s="1"/>
      <c r="G48" s="1"/>
      <c r="H48" s="1"/>
      <c r="I48" s="1"/>
      <c r="J48" s="1"/>
      <c r="K48" s="1"/>
    </row>
    <row r="49" spans="1:11" ht="12.75" customHeight="1">
      <c r="A49" s="1"/>
      <c r="B49" s="1"/>
      <c r="C49" s="1"/>
      <c r="D49" s="1"/>
      <c r="E49" s="1"/>
      <c r="F49" s="1"/>
      <c r="G49" s="1"/>
      <c r="H49" s="1"/>
      <c r="I49" s="1"/>
      <c r="J49" s="1"/>
      <c r="K49" s="1"/>
    </row>
    <row r="50" spans="1:11" ht="12.75" customHeight="1">
      <c r="A50" s="1"/>
      <c r="B50" s="1"/>
      <c r="C50" s="1"/>
      <c r="D50" s="1"/>
      <c r="E50" s="1"/>
      <c r="F50" s="1"/>
      <c r="G50" s="1"/>
      <c r="H50" s="1"/>
      <c r="I50" s="1"/>
      <c r="J50" s="1"/>
      <c r="K50" s="1"/>
    </row>
    <row r="51" spans="1:11" ht="12.75" customHeight="1">
      <c r="A51" s="1"/>
      <c r="B51" s="1"/>
      <c r="C51" s="1"/>
      <c r="D51" s="1"/>
      <c r="E51" s="1"/>
      <c r="F51" s="1"/>
      <c r="G51" s="1"/>
      <c r="H51" s="1"/>
      <c r="I51" s="1"/>
      <c r="J51" s="1"/>
      <c r="K51" s="1"/>
    </row>
    <row r="52" spans="1:11" ht="12.75" customHeight="1">
      <c r="A52" s="1"/>
      <c r="B52" s="1"/>
      <c r="C52" s="1"/>
      <c r="D52" s="1"/>
      <c r="E52" s="1"/>
      <c r="F52" s="1"/>
      <c r="G52" s="1"/>
      <c r="H52" s="1"/>
      <c r="I52" s="1"/>
      <c r="J52" s="1"/>
      <c r="K52" s="1"/>
    </row>
    <row r="53" spans="1:11" ht="12.75" customHeight="1">
      <c r="A53" s="1"/>
      <c r="B53" s="1"/>
      <c r="C53" s="1"/>
      <c r="D53" s="1"/>
      <c r="E53" s="1"/>
      <c r="F53" s="1"/>
      <c r="G53" s="1"/>
      <c r="H53" s="1"/>
      <c r="I53" s="1"/>
      <c r="J53" s="1"/>
      <c r="K53" s="1"/>
    </row>
    <row r="54" spans="1:11" ht="12.75" customHeight="1">
      <c r="A54" s="1"/>
      <c r="B54" s="1"/>
      <c r="C54" s="1"/>
      <c r="D54" s="1"/>
      <c r="E54" s="1"/>
      <c r="F54" s="1"/>
      <c r="G54" s="1"/>
      <c r="H54" s="1"/>
      <c r="I54" s="1"/>
      <c r="J54" s="1"/>
      <c r="K54" s="1"/>
    </row>
    <row r="55" spans="1:11" ht="12.75" customHeight="1">
      <c r="A55" s="1"/>
      <c r="B55" s="1"/>
      <c r="C55" s="1"/>
      <c r="D55" s="1"/>
      <c r="E55" s="1"/>
      <c r="F55" s="1"/>
      <c r="G55" s="1"/>
      <c r="H55" s="1"/>
      <c r="I55" s="1"/>
      <c r="J55" s="1"/>
      <c r="K55" s="1"/>
    </row>
    <row r="56" spans="1:11" ht="12.75" customHeight="1">
      <c r="A56" s="1"/>
      <c r="B56" s="1"/>
      <c r="C56" s="1"/>
      <c r="D56" s="1"/>
      <c r="E56" s="1"/>
      <c r="F56" s="1"/>
      <c r="G56" s="1"/>
      <c r="H56" s="1"/>
      <c r="I56" s="1"/>
      <c r="J56" s="1"/>
      <c r="K56" s="1"/>
    </row>
    <row r="57" spans="1:11" ht="12.75" customHeight="1">
      <c r="A57" s="1"/>
      <c r="B57" s="1"/>
      <c r="C57" s="1"/>
      <c r="D57" s="1"/>
      <c r="E57" s="1"/>
      <c r="F57" s="1"/>
      <c r="G57" s="1"/>
      <c r="H57" s="1"/>
      <c r="I57" s="1"/>
      <c r="J57" s="1"/>
      <c r="K57" s="1"/>
    </row>
    <row r="58" spans="1:11" ht="12.75" customHeight="1">
      <c r="A58" s="1"/>
      <c r="B58" s="1"/>
      <c r="C58" s="1"/>
      <c r="D58" s="1"/>
      <c r="E58" s="1"/>
      <c r="F58" s="1"/>
      <c r="G58" s="1"/>
      <c r="H58" s="1"/>
      <c r="I58" s="1"/>
      <c r="J58" s="1"/>
      <c r="K58" s="1"/>
    </row>
    <row r="59" spans="1:11" ht="12.75" customHeight="1">
      <c r="A59" s="1"/>
      <c r="B59" s="1"/>
      <c r="C59" s="1"/>
      <c r="D59" s="1"/>
      <c r="E59" s="1"/>
      <c r="F59" s="1"/>
      <c r="G59" s="1"/>
      <c r="H59" s="1"/>
      <c r="I59" s="1"/>
      <c r="J59" s="1"/>
      <c r="K59" s="1"/>
    </row>
    <row r="60" spans="1:11" ht="12.75" customHeight="1">
      <c r="A60" s="1"/>
      <c r="B60" s="1"/>
      <c r="C60" s="1"/>
      <c r="D60" s="1"/>
      <c r="E60" s="1"/>
      <c r="F60" s="1"/>
      <c r="G60" s="1"/>
      <c r="H60" s="1"/>
      <c r="I60" s="1"/>
      <c r="J60" s="1"/>
      <c r="K60" s="1"/>
    </row>
    <row r="61" spans="1:11" ht="12.75" customHeight="1">
      <c r="A61" s="1"/>
      <c r="B61" s="1"/>
      <c r="C61" s="1"/>
      <c r="D61" s="1"/>
      <c r="E61" s="1"/>
      <c r="F61" s="1"/>
      <c r="G61" s="1"/>
      <c r="H61" s="1"/>
      <c r="I61" s="1"/>
      <c r="J61" s="1"/>
      <c r="K61" s="1"/>
    </row>
    <row r="62" spans="1:11" ht="12.75" customHeight="1">
      <c r="A62" s="1"/>
      <c r="B62" s="1"/>
      <c r="C62" s="1"/>
      <c r="D62" s="1"/>
      <c r="E62" s="1"/>
      <c r="F62" s="1"/>
      <c r="G62" s="1"/>
      <c r="H62" s="1"/>
      <c r="I62" s="1"/>
      <c r="J62" s="1"/>
      <c r="K62" s="1"/>
    </row>
    <row r="63" spans="1:11" ht="12.75" customHeight="1">
      <c r="A63" s="1"/>
      <c r="B63" s="1"/>
      <c r="C63" s="1"/>
      <c r="D63" s="1"/>
      <c r="E63" s="1"/>
      <c r="F63" s="1"/>
      <c r="G63" s="1"/>
      <c r="H63" s="1"/>
      <c r="I63" s="1"/>
      <c r="J63" s="1"/>
      <c r="K63" s="1"/>
    </row>
    <row r="64" spans="1:11" ht="12.75" customHeight="1">
      <c r="A64" s="1"/>
      <c r="B64" s="1"/>
      <c r="C64" s="1"/>
      <c r="D64" s="1"/>
      <c r="E64" s="1"/>
      <c r="F64" s="1"/>
      <c r="G64" s="1"/>
      <c r="H64" s="1"/>
      <c r="I64" s="1"/>
      <c r="J64" s="1"/>
      <c r="K64" s="1"/>
    </row>
    <row r="65" spans="1:11" ht="12.75" customHeight="1">
      <c r="A65" s="1"/>
      <c r="B65" s="1"/>
      <c r="C65" s="1"/>
      <c r="D65" s="1"/>
      <c r="E65" s="1"/>
      <c r="F65" s="1"/>
      <c r="G65" s="1"/>
      <c r="H65" s="1"/>
      <c r="I65" s="1"/>
      <c r="J65" s="1"/>
      <c r="K65" s="1"/>
    </row>
    <row r="66" spans="1:11" ht="12.75" customHeight="1">
      <c r="A66" s="1"/>
      <c r="B66" s="1"/>
      <c r="C66" s="1"/>
      <c r="D66" s="1"/>
      <c r="E66" s="1"/>
      <c r="F66" s="1"/>
      <c r="G66" s="1"/>
      <c r="H66" s="1"/>
      <c r="I66" s="1"/>
      <c r="J66" s="1"/>
      <c r="K66" s="1"/>
    </row>
    <row r="67" spans="1:11" ht="12.75" customHeight="1">
      <c r="A67" s="1"/>
      <c r="B67" s="1"/>
      <c r="C67" s="1"/>
      <c r="D67" s="1"/>
      <c r="E67" s="1"/>
      <c r="F67" s="1"/>
      <c r="G67" s="1"/>
      <c r="H67" s="1"/>
      <c r="I67" s="1"/>
      <c r="J67" s="1"/>
      <c r="K67" s="1"/>
    </row>
    <row r="68" spans="1:11" ht="12.75" customHeight="1">
      <c r="A68" s="1"/>
      <c r="B68" s="1"/>
      <c r="C68" s="1"/>
      <c r="D68" s="1"/>
      <c r="E68" s="1"/>
      <c r="F68" s="1"/>
      <c r="G68" s="1"/>
      <c r="H68" s="1"/>
      <c r="I68" s="1"/>
      <c r="J68" s="1"/>
      <c r="K68" s="1"/>
    </row>
    <row r="69" spans="1:11" ht="12.75" customHeight="1">
      <c r="A69" s="1"/>
      <c r="B69" s="1"/>
      <c r="C69" s="1"/>
      <c r="D69" s="1"/>
      <c r="E69" s="1"/>
      <c r="F69" s="1"/>
      <c r="G69" s="1"/>
      <c r="H69" s="1"/>
      <c r="I69" s="1"/>
      <c r="J69" s="1"/>
      <c r="K69" s="1"/>
    </row>
    <row r="70" spans="1:11" ht="12.75" customHeight="1">
      <c r="A70" s="1"/>
      <c r="B70" s="1"/>
      <c r="C70" s="1"/>
      <c r="D70" s="1"/>
      <c r="E70" s="1"/>
      <c r="F70" s="1"/>
      <c r="G70" s="1"/>
      <c r="H70" s="1"/>
      <c r="I70" s="1"/>
      <c r="J70" s="1"/>
      <c r="K70" s="1"/>
    </row>
    <row r="71" spans="1:11" ht="12.75" customHeight="1">
      <c r="A71" s="1"/>
      <c r="B71" s="1"/>
      <c r="C71" s="1"/>
      <c r="D71" s="1"/>
      <c r="E71" s="1"/>
      <c r="F71" s="1"/>
      <c r="G71" s="1"/>
      <c r="H71" s="1"/>
      <c r="I71" s="1"/>
      <c r="J71" s="1"/>
      <c r="K71" s="1"/>
    </row>
    <row r="72" spans="1:11" ht="12.75" customHeight="1">
      <c r="A72" s="1"/>
      <c r="B72" s="1"/>
      <c r="C72" s="1"/>
      <c r="D72" s="1"/>
      <c r="E72" s="1"/>
      <c r="F72" s="1"/>
      <c r="G72" s="1"/>
      <c r="H72" s="1"/>
      <c r="I72" s="1"/>
      <c r="J72" s="1"/>
      <c r="K72" s="1"/>
    </row>
    <row r="73" spans="1:11" ht="12.75" customHeight="1">
      <c r="A73" s="1"/>
      <c r="B73" s="1"/>
      <c r="C73" s="1"/>
      <c r="D73" s="1"/>
      <c r="E73" s="1"/>
      <c r="F73" s="1"/>
      <c r="G73" s="1"/>
      <c r="H73" s="1"/>
      <c r="I73" s="1"/>
      <c r="J73" s="1"/>
      <c r="K73" s="1"/>
    </row>
    <row r="74" spans="1:11" ht="12.75" customHeight="1">
      <c r="A74" s="1"/>
      <c r="B74" s="1"/>
      <c r="C74" s="1"/>
      <c r="D74" s="1"/>
      <c r="E74" s="1"/>
      <c r="F74" s="1"/>
      <c r="G74" s="1"/>
      <c r="H74" s="1"/>
      <c r="I74" s="1"/>
      <c r="J74" s="1"/>
      <c r="K74" s="1"/>
    </row>
    <row r="75" spans="1:11" ht="12.75" customHeight="1">
      <c r="A75" s="1"/>
      <c r="B75" s="1"/>
      <c r="C75" s="1"/>
      <c r="D75" s="1"/>
      <c r="E75" s="1"/>
      <c r="F75" s="1"/>
      <c r="G75" s="1"/>
      <c r="H75" s="1"/>
      <c r="I75" s="1"/>
      <c r="J75" s="1"/>
      <c r="K75" s="1"/>
    </row>
    <row r="76" spans="1:11" ht="12.75" customHeight="1">
      <c r="A76" s="1"/>
      <c r="B76" s="1"/>
      <c r="C76" s="1"/>
      <c r="D76" s="1"/>
      <c r="E76" s="1"/>
      <c r="F76" s="1"/>
      <c r="G76" s="1"/>
      <c r="H76" s="1"/>
      <c r="I76" s="1"/>
      <c r="J76" s="1"/>
      <c r="K76" s="1"/>
    </row>
    <row r="77" spans="1:11" ht="12.75" customHeight="1">
      <c r="A77" s="1"/>
      <c r="B77" s="1"/>
      <c r="C77" s="1"/>
      <c r="D77" s="1"/>
      <c r="E77" s="1"/>
      <c r="F77" s="1"/>
      <c r="G77" s="1"/>
      <c r="H77" s="1"/>
      <c r="I77" s="1"/>
      <c r="J77" s="1"/>
      <c r="K77" s="1"/>
    </row>
    <row r="78" spans="1:11" ht="12.75" customHeight="1">
      <c r="A78" s="1"/>
      <c r="B78" s="1"/>
      <c r="C78" s="1"/>
      <c r="D78" s="1"/>
      <c r="E78" s="1"/>
      <c r="F78" s="1"/>
      <c r="G78" s="1"/>
      <c r="H78" s="1"/>
      <c r="I78" s="1"/>
      <c r="J78" s="1"/>
      <c r="K78" s="1"/>
    </row>
    <row r="79" spans="1:11" ht="12.75" customHeight="1">
      <c r="A79" s="1"/>
      <c r="B79" s="1"/>
      <c r="C79" s="1"/>
      <c r="D79" s="1"/>
      <c r="E79" s="1"/>
      <c r="F79" s="1"/>
      <c r="G79" s="1"/>
      <c r="H79" s="1"/>
      <c r="I79" s="1"/>
      <c r="J79" s="1"/>
      <c r="K79" s="1"/>
    </row>
    <row r="80" spans="1:11" ht="12.75" customHeight="1">
      <c r="A80" s="1"/>
      <c r="B80" s="1"/>
      <c r="C80" s="1"/>
      <c r="D80" s="1"/>
      <c r="E80" s="1"/>
      <c r="F80" s="1"/>
      <c r="G80" s="1"/>
      <c r="H80" s="1"/>
      <c r="I80" s="1"/>
      <c r="J80" s="1"/>
      <c r="K80" s="1"/>
    </row>
    <row r="81" spans="1:11" ht="12.75" customHeight="1">
      <c r="A81" s="1"/>
      <c r="B81" s="1"/>
      <c r="C81" s="1"/>
      <c r="D81" s="1"/>
      <c r="E81" s="1"/>
      <c r="F81" s="1"/>
      <c r="G81" s="1"/>
      <c r="H81" s="1"/>
      <c r="I81" s="1"/>
      <c r="J81" s="1"/>
      <c r="K81" s="1"/>
    </row>
    <row r="82" spans="1:11" ht="12.75" customHeight="1">
      <c r="A82" s="1"/>
      <c r="B82" s="1"/>
      <c r="C82" s="1"/>
      <c r="D82" s="1"/>
      <c r="E82" s="1"/>
      <c r="F82" s="1"/>
      <c r="G82" s="1"/>
      <c r="H82" s="1"/>
      <c r="I82" s="1"/>
      <c r="J82" s="1"/>
      <c r="K82" s="1"/>
    </row>
    <row r="83" spans="1:11" ht="12.75" customHeight="1">
      <c r="A83" s="1"/>
      <c r="B83" s="1"/>
      <c r="C83" s="1"/>
      <c r="D83" s="1"/>
      <c r="E83" s="1"/>
      <c r="F83" s="1"/>
      <c r="G83" s="1"/>
      <c r="H83" s="1"/>
      <c r="I83" s="1"/>
      <c r="J83" s="1"/>
      <c r="K83" s="1"/>
    </row>
    <row r="84" spans="1:11" ht="12.75" customHeight="1">
      <c r="A84" s="1"/>
      <c r="B84" s="1"/>
      <c r="C84" s="1"/>
      <c r="D84" s="1"/>
      <c r="E84" s="1"/>
      <c r="F84" s="1"/>
      <c r="G84" s="1"/>
      <c r="H84" s="1"/>
      <c r="I84" s="1"/>
      <c r="J84" s="1"/>
      <c r="K84" s="1"/>
    </row>
    <row r="85" spans="1:11" ht="12.75" customHeight="1">
      <c r="A85" s="1"/>
      <c r="B85" s="1"/>
      <c r="C85" s="1"/>
      <c r="D85" s="1"/>
      <c r="E85" s="1"/>
      <c r="F85" s="1"/>
      <c r="G85" s="1"/>
      <c r="H85" s="1"/>
      <c r="I85" s="1"/>
      <c r="J85" s="1"/>
      <c r="K85" s="1"/>
    </row>
    <row r="86" spans="1:11" ht="12.75" customHeight="1">
      <c r="A86" s="1"/>
      <c r="B86" s="1"/>
      <c r="C86" s="1"/>
      <c r="D86" s="1"/>
      <c r="E86" s="1"/>
      <c r="F86" s="1"/>
      <c r="G86" s="1"/>
      <c r="H86" s="1"/>
      <c r="I86" s="1"/>
      <c r="J86" s="1"/>
      <c r="K86" s="1"/>
    </row>
    <row r="87" spans="1:11" ht="12.75" customHeight="1">
      <c r="A87" s="1"/>
      <c r="B87" s="1"/>
      <c r="C87" s="1"/>
      <c r="D87" s="1"/>
      <c r="E87" s="1"/>
      <c r="F87" s="1"/>
      <c r="G87" s="1"/>
      <c r="H87" s="1"/>
      <c r="I87" s="1"/>
      <c r="J87" s="1"/>
      <c r="K87" s="1"/>
    </row>
    <row r="88" spans="1:11" ht="12.75" customHeight="1">
      <c r="A88" s="1"/>
      <c r="B88" s="1"/>
      <c r="C88" s="1"/>
      <c r="D88" s="1"/>
      <c r="E88" s="1"/>
      <c r="F88" s="1"/>
      <c r="G88" s="1"/>
      <c r="H88" s="1"/>
      <c r="I88" s="1"/>
      <c r="J88" s="1"/>
      <c r="K88" s="1"/>
    </row>
    <row r="89" spans="1:11" ht="12.75" customHeight="1">
      <c r="A89" s="1"/>
      <c r="B89" s="1"/>
      <c r="C89" s="1"/>
      <c r="D89" s="1"/>
      <c r="E89" s="1"/>
      <c r="F89" s="1"/>
      <c r="G89" s="1"/>
      <c r="H89" s="1"/>
      <c r="I89" s="1"/>
      <c r="J89" s="1"/>
      <c r="K89" s="1"/>
    </row>
    <row r="90" spans="1:11" ht="12.75" customHeight="1">
      <c r="A90" s="1"/>
      <c r="B90" s="1"/>
      <c r="C90" s="1"/>
      <c r="D90" s="1"/>
      <c r="E90" s="1"/>
      <c r="F90" s="1"/>
      <c r="G90" s="1"/>
      <c r="H90" s="1"/>
      <c r="I90" s="1"/>
      <c r="J90" s="1"/>
      <c r="K90" s="1"/>
    </row>
    <row r="91" spans="1:11" ht="12.75" customHeight="1">
      <c r="A91" s="1"/>
      <c r="B91" s="1"/>
      <c r="C91" s="1"/>
      <c r="D91" s="1"/>
      <c r="E91" s="1"/>
      <c r="F91" s="1"/>
      <c r="G91" s="1"/>
      <c r="H91" s="1"/>
      <c r="I91" s="1"/>
      <c r="J91" s="1"/>
      <c r="K91" s="1"/>
    </row>
    <row r="92" spans="1:11" ht="12.75" customHeight="1">
      <c r="A92" s="1"/>
      <c r="B92" s="1"/>
      <c r="C92" s="1"/>
      <c r="D92" s="1"/>
      <c r="E92" s="1"/>
      <c r="F92" s="1"/>
      <c r="G92" s="1"/>
      <c r="H92" s="1"/>
      <c r="I92" s="1"/>
      <c r="J92" s="1"/>
      <c r="K92" s="1"/>
    </row>
    <row r="93" spans="1:11" ht="12.75" customHeight="1">
      <c r="A93" s="1"/>
      <c r="B93" s="1"/>
      <c r="C93" s="1"/>
      <c r="D93" s="1"/>
      <c r="E93" s="1"/>
      <c r="F93" s="1"/>
      <c r="G93" s="1"/>
      <c r="H93" s="1"/>
      <c r="I93" s="1"/>
      <c r="J93" s="1"/>
      <c r="K93" s="1"/>
    </row>
    <row r="94" spans="1:11" ht="12.75" customHeight="1">
      <c r="A94" s="1"/>
      <c r="B94" s="1"/>
      <c r="C94" s="1"/>
      <c r="D94" s="1"/>
      <c r="E94" s="1"/>
      <c r="F94" s="1"/>
      <c r="G94" s="1"/>
      <c r="H94" s="1"/>
      <c r="I94" s="1"/>
      <c r="J94" s="1"/>
      <c r="K94" s="1"/>
    </row>
    <row r="95" spans="1:11" ht="12.75" customHeight="1">
      <c r="A95" s="1"/>
      <c r="B95" s="1"/>
      <c r="C95" s="1"/>
      <c r="D95" s="1"/>
      <c r="E95" s="1"/>
      <c r="F95" s="1"/>
      <c r="G95" s="1"/>
      <c r="H95" s="1"/>
      <c r="I95" s="1"/>
      <c r="J95" s="1"/>
      <c r="K95" s="1"/>
    </row>
    <row r="96" spans="1:11" ht="12.75" customHeight="1">
      <c r="A96" s="1"/>
      <c r="B96" s="1"/>
      <c r="C96" s="1"/>
      <c r="D96" s="1"/>
      <c r="E96" s="1"/>
      <c r="F96" s="1"/>
      <c r="G96" s="1"/>
      <c r="H96" s="1"/>
      <c r="I96" s="1"/>
      <c r="J96" s="1"/>
      <c r="K96" s="1"/>
    </row>
    <row r="97" spans="1:11" ht="12.75" customHeight="1">
      <c r="A97" s="1"/>
      <c r="B97" s="1"/>
      <c r="C97" s="1"/>
      <c r="D97" s="1"/>
      <c r="E97" s="1"/>
      <c r="F97" s="1"/>
      <c r="G97" s="1"/>
      <c r="H97" s="1"/>
      <c r="I97" s="1"/>
      <c r="J97" s="1"/>
      <c r="K97" s="1"/>
    </row>
    <row r="98" spans="1:11" ht="12.75" customHeight="1">
      <c r="A98" s="1"/>
      <c r="B98" s="1"/>
      <c r="C98" s="1"/>
      <c r="D98" s="1"/>
      <c r="E98" s="1"/>
      <c r="F98" s="1"/>
      <c r="G98" s="1"/>
      <c r="H98" s="1"/>
      <c r="I98" s="1"/>
      <c r="J98" s="1"/>
      <c r="K98" s="1"/>
    </row>
    <row r="99" spans="1:11" ht="12.75" customHeight="1">
      <c r="A99" s="1"/>
      <c r="B99" s="1"/>
      <c r="C99" s="1"/>
      <c r="D99" s="1"/>
      <c r="E99" s="1"/>
      <c r="F99" s="1"/>
      <c r="G99" s="1"/>
      <c r="H99" s="1"/>
      <c r="I99" s="1"/>
      <c r="J99" s="1"/>
      <c r="K99" s="1"/>
    </row>
    <row r="100" spans="1:11" ht="12.75" customHeight="1">
      <c r="A100" s="1"/>
      <c r="B100" s="1"/>
      <c r="C100" s="1"/>
      <c r="D100" s="1"/>
      <c r="E100" s="1"/>
      <c r="F100" s="1"/>
      <c r="G100" s="1"/>
      <c r="H100" s="1"/>
      <c r="I100" s="1"/>
      <c r="J100" s="1"/>
      <c r="K100" s="1"/>
    </row>
  </sheetData>
  <mergeCells count="1">
    <mergeCell ref="A1:D1"/>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
  <sheetViews>
    <sheetView workbookViewId="0">
      <selection sqref="A1:D1"/>
    </sheetView>
  </sheetViews>
  <sheetFormatPr defaultColWidth="14.453125" defaultRowHeight="15" customHeight="1"/>
  <cols>
    <col min="1" max="1" width="45.26953125" customWidth="1"/>
    <col min="2" max="4" width="12.7265625" customWidth="1"/>
    <col min="5" max="5" width="9.08984375" customWidth="1"/>
    <col min="6" max="7" width="11.26953125" customWidth="1"/>
    <col min="8" max="8" width="12" customWidth="1"/>
    <col min="9" max="10" width="10.26953125" customWidth="1"/>
    <col min="11" max="11" width="9.08984375" customWidth="1"/>
  </cols>
  <sheetData>
    <row r="1" spans="1:11" ht="25">
      <c r="A1" s="88" t="s">
        <v>17</v>
      </c>
      <c r="B1" s="89"/>
      <c r="C1" s="89"/>
      <c r="D1" s="89"/>
      <c r="E1" s="1"/>
      <c r="F1" s="1"/>
      <c r="G1" s="1"/>
      <c r="H1" s="1"/>
      <c r="I1" s="1"/>
      <c r="J1" s="1"/>
      <c r="K1" s="1"/>
    </row>
    <row r="2" spans="1:11" ht="12" customHeight="1">
      <c r="A2" s="1"/>
      <c r="B2" s="1"/>
      <c r="C2" s="1"/>
      <c r="D2" s="1"/>
      <c r="E2" s="1"/>
      <c r="F2" s="1"/>
      <c r="G2" s="1"/>
      <c r="H2" s="1"/>
      <c r="I2" s="1"/>
      <c r="J2" s="1"/>
      <c r="K2" s="1"/>
    </row>
    <row r="3" spans="1:11" ht="12" customHeight="1">
      <c r="A3" s="2" t="s">
        <v>1</v>
      </c>
      <c r="B3" s="3" t="s">
        <v>2</v>
      </c>
      <c r="C3" s="3" t="s">
        <v>3</v>
      </c>
      <c r="D3" s="3" t="s">
        <v>4</v>
      </c>
      <c r="E3" s="1"/>
      <c r="F3" s="1"/>
      <c r="G3" s="1"/>
      <c r="H3" s="1"/>
      <c r="I3" s="1"/>
      <c r="J3" s="1"/>
      <c r="K3" s="1"/>
    </row>
    <row r="4" spans="1:11" ht="12" customHeight="1">
      <c r="A4" s="10" t="s">
        <v>18</v>
      </c>
      <c r="B4" s="1"/>
      <c r="C4" s="1"/>
      <c r="D4" s="1"/>
      <c r="E4" s="11"/>
      <c r="F4" s="11"/>
      <c r="G4" s="1"/>
      <c r="H4" s="1"/>
      <c r="I4" s="1"/>
      <c r="J4" s="1"/>
      <c r="K4" s="1"/>
    </row>
    <row r="5" spans="1:11" ht="12" customHeight="1">
      <c r="A5" s="11" t="s">
        <v>19</v>
      </c>
      <c r="B5" s="11"/>
      <c r="C5" s="10"/>
      <c r="D5" s="10"/>
      <c r="E5" s="11"/>
      <c r="F5" s="11"/>
      <c r="G5" s="1"/>
      <c r="H5" s="1"/>
      <c r="I5" s="1"/>
      <c r="J5" s="1"/>
      <c r="K5" s="1"/>
    </row>
    <row r="6" spans="1:11" ht="12" customHeight="1">
      <c r="A6" s="11" t="s">
        <v>20</v>
      </c>
      <c r="B6" s="12">
        <v>3794483</v>
      </c>
      <c r="C6" s="13">
        <v>5018437</v>
      </c>
      <c r="D6" s="13">
        <v>8205550</v>
      </c>
      <c r="E6" s="11"/>
      <c r="F6" s="11" t="s">
        <v>21</v>
      </c>
      <c r="G6" s="1"/>
      <c r="H6" s="1"/>
      <c r="I6" s="1"/>
      <c r="J6" s="1"/>
      <c r="K6" s="1"/>
    </row>
    <row r="7" spans="1:11" ht="12" customHeight="1">
      <c r="A7" s="11" t="s">
        <v>22</v>
      </c>
      <c r="B7" s="12">
        <f>748466+5151186</f>
        <v>5899652</v>
      </c>
      <c r="C7" s="14">
        <v>1160067</v>
      </c>
      <c r="D7" s="14">
        <v>1556030</v>
      </c>
      <c r="E7" s="11"/>
      <c r="F7" s="11" t="s">
        <v>23</v>
      </c>
      <c r="G7" s="1"/>
      <c r="H7" s="1"/>
      <c r="I7" s="1"/>
      <c r="J7" s="1"/>
      <c r="K7" s="1"/>
    </row>
    <row r="8" spans="1:11" ht="12" customHeight="1">
      <c r="A8" s="11" t="s">
        <v>24</v>
      </c>
      <c r="B8" s="15">
        <f t="shared" ref="B8:D8" si="0">SUM(B6:B7)</f>
        <v>9694135</v>
      </c>
      <c r="C8" s="16">
        <f t="shared" si="0"/>
        <v>6178504</v>
      </c>
      <c r="D8" s="16">
        <f t="shared" si="0"/>
        <v>9761580</v>
      </c>
      <c r="E8" s="11"/>
      <c r="F8" s="1"/>
      <c r="G8" s="1"/>
      <c r="H8" s="1"/>
      <c r="I8" s="1"/>
      <c r="J8" s="1"/>
      <c r="K8" s="1"/>
    </row>
    <row r="9" spans="1:11" ht="12" customHeight="1">
      <c r="A9" s="11" t="s">
        <v>25</v>
      </c>
      <c r="B9" s="12">
        <v>14951141</v>
      </c>
      <c r="C9" s="16">
        <v>24504567</v>
      </c>
      <c r="D9" s="16">
        <v>25383950</v>
      </c>
      <c r="E9" s="11"/>
      <c r="F9" s="11" t="s">
        <v>26</v>
      </c>
      <c r="G9" s="1"/>
      <c r="H9" s="1"/>
      <c r="I9" s="1"/>
      <c r="J9" s="1"/>
      <c r="K9" s="1"/>
    </row>
    <row r="10" spans="1:11" ht="12" customHeight="1">
      <c r="A10" s="11" t="s">
        <v>27</v>
      </c>
      <c r="B10" s="12">
        <v>418281</v>
      </c>
      <c r="C10" s="16">
        <v>565221</v>
      </c>
      <c r="D10" s="16">
        <v>960183</v>
      </c>
      <c r="E10" s="11"/>
      <c r="F10" s="17" t="s">
        <v>26</v>
      </c>
      <c r="G10" s="6"/>
      <c r="H10" s="6"/>
      <c r="I10" s="1"/>
      <c r="J10" s="1"/>
      <c r="K10" s="1"/>
    </row>
    <row r="11" spans="1:11" ht="12" customHeight="1">
      <c r="A11" s="11" t="s">
        <v>28</v>
      </c>
      <c r="B11" s="12">
        <v>910843</v>
      </c>
      <c r="C11" s="16">
        <v>2727420</v>
      </c>
      <c r="D11" s="16">
        <v>3174646</v>
      </c>
      <c r="E11" s="11"/>
      <c r="F11" s="6"/>
      <c r="G11" s="6"/>
      <c r="H11" s="6"/>
      <c r="I11" s="1"/>
      <c r="J11" s="1"/>
      <c r="K11" s="1"/>
    </row>
    <row r="12" spans="1:11" ht="12" customHeight="1">
      <c r="A12" s="10" t="s">
        <v>29</v>
      </c>
      <c r="B12" s="18">
        <f t="shared" ref="B12:D12" si="1">SUM(B8:B11)</f>
        <v>25974400</v>
      </c>
      <c r="C12" s="18">
        <f t="shared" si="1"/>
        <v>33975712</v>
      </c>
      <c r="D12" s="18">
        <f t="shared" si="1"/>
        <v>39280359</v>
      </c>
      <c r="E12" s="10"/>
      <c r="F12" s="6"/>
      <c r="G12" s="6"/>
      <c r="H12" s="6"/>
      <c r="I12" s="1"/>
      <c r="J12" s="1"/>
      <c r="K12" s="1"/>
    </row>
    <row r="13" spans="1:11" ht="12" customHeight="1">
      <c r="A13" s="10"/>
      <c r="B13" s="13"/>
      <c r="C13" s="13"/>
      <c r="D13" s="13"/>
      <c r="E13" s="10"/>
      <c r="F13" s="1"/>
      <c r="G13" s="1"/>
      <c r="H13" s="1"/>
      <c r="I13" s="1"/>
      <c r="J13" s="1"/>
      <c r="K13" s="1"/>
    </row>
    <row r="14" spans="1:11" ht="12" customHeight="1">
      <c r="A14" s="10" t="s">
        <v>30</v>
      </c>
      <c r="B14" s="11"/>
      <c r="C14" s="19"/>
      <c r="D14" s="19"/>
      <c r="E14" s="11"/>
      <c r="F14" s="11"/>
      <c r="G14" s="1"/>
      <c r="H14" s="1"/>
      <c r="I14" s="1"/>
      <c r="J14" s="1"/>
      <c r="K14" s="1"/>
    </row>
    <row r="15" spans="1:11" ht="12" customHeight="1">
      <c r="A15" s="11" t="s">
        <v>31</v>
      </c>
      <c r="B15" s="11"/>
      <c r="C15" s="16"/>
      <c r="D15" s="16"/>
      <c r="E15" s="11"/>
      <c r="F15" s="11"/>
      <c r="G15" s="1"/>
      <c r="H15" s="1"/>
      <c r="I15" s="1"/>
      <c r="J15" s="1"/>
      <c r="K15" s="1"/>
    </row>
    <row r="16" spans="1:11" ht="12" customHeight="1">
      <c r="A16" s="11" t="s">
        <v>32</v>
      </c>
      <c r="B16" s="12">
        <v>4681562</v>
      </c>
      <c r="C16" s="13">
        <v>4413561</v>
      </c>
      <c r="D16" s="13">
        <v>4429536</v>
      </c>
      <c r="E16" s="11"/>
      <c r="F16" s="20"/>
      <c r="G16" s="1"/>
      <c r="H16" s="21"/>
      <c r="I16" s="21"/>
      <c r="J16" s="1"/>
      <c r="K16" s="1"/>
    </row>
    <row r="17" spans="1:11" ht="12" customHeight="1">
      <c r="A17" s="11" t="s">
        <v>33</v>
      </c>
      <c r="B17" s="12">
        <v>562985</v>
      </c>
      <c r="C17" s="16">
        <v>674347</v>
      </c>
      <c r="D17" s="16">
        <v>656183</v>
      </c>
      <c r="E17" s="11"/>
      <c r="F17" s="11" t="s">
        <v>23</v>
      </c>
      <c r="G17" s="1"/>
      <c r="H17" s="21"/>
      <c r="I17" s="21"/>
      <c r="J17" s="1"/>
      <c r="K17" s="1"/>
    </row>
    <row r="18" spans="1:11" ht="12" customHeight="1">
      <c r="A18" s="11" t="s">
        <v>34</v>
      </c>
      <c r="B18" s="12">
        <v>481874</v>
      </c>
      <c r="C18" s="16">
        <v>843043</v>
      </c>
      <c r="D18" s="16">
        <v>1102196</v>
      </c>
      <c r="E18" s="11"/>
      <c r="F18" s="11"/>
      <c r="G18" s="1"/>
      <c r="H18" s="1"/>
      <c r="I18" s="1"/>
      <c r="J18" s="1"/>
      <c r="K18" s="1"/>
    </row>
    <row r="19" spans="1:11" ht="12" customHeight="1">
      <c r="A19" s="11" t="s">
        <v>35</v>
      </c>
      <c r="B19" s="12">
        <v>760899</v>
      </c>
      <c r="C19" s="16">
        <v>924745</v>
      </c>
      <c r="D19" s="16">
        <v>1117992</v>
      </c>
      <c r="E19" s="11"/>
      <c r="F19" s="11"/>
      <c r="G19" s="1"/>
      <c r="H19" s="1"/>
      <c r="I19" s="1"/>
      <c r="J19" s="1"/>
      <c r="K19" s="1"/>
    </row>
    <row r="20" spans="1:11" ht="12" customHeight="1">
      <c r="A20" s="11" t="s">
        <v>36</v>
      </c>
      <c r="B20" s="14">
        <v>0</v>
      </c>
      <c r="C20" s="14">
        <v>0</v>
      </c>
      <c r="D20" s="14">
        <v>499878</v>
      </c>
      <c r="E20" s="11"/>
      <c r="F20" s="11"/>
      <c r="G20" s="1"/>
      <c r="H20" s="1"/>
      <c r="I20" s="1"/>
      <c r="J20" s="1"/>
      <c r="K20" s="1"/>
    </row>
    <row r="21" spans="1:11" ht="12" customHeight="1">
      <c r="A21" s="11" t="s">
        <v>37</v>
      </c>
      <c r="B21" s="15">
        <f t="shared" ref="B21:D21" si="2">SUM(B16:B20)</f>
        <v>6487320</v>
      </c>
      <c r="C21" s="16">
        <f t="shared" si="2"/>
        <v>6855696</v>
      </c>
      <c r="D21" s="16">
        <f t="shared" si="2"/>
        <v>7805785</v>
      </c>
      <c r="E21" s="11"/>
      <c r="F21" s="1"/>
      <c r="G21" s="1"/>
      <c r="H21" s="1"/>
      <c r="I21" s="1"/>
      <c r="J21" s="1"/>
      <c r="K21" s="1"/>
    </row>
    <row r="22" spans="1:11" ht="12" customHeight="1">
      <c r="A22" s="11" t="s">
        <v>38</v>
      </c>
      <c r="B22" s="12">
        <v>3759026</v>
      </c>
      <c r="C22" s="16">
        <v>3334323</v>
      </c>
      <c r="D22" s="16">
        <v>2618084</v>
      </c>
      <c r="E22" s="11"/>
      <c r="F22" s="11"/>
      <c r="G22" s="1"/>
      <c r="H22" s="1"/>
      <c r="I22" s="1"/>
      <c r="J22" s="1"/>
      <c r="K22" s="1"/>
    </row>
    <row r="23" spans="1:11" ht="12" customHeight="1">
      <c r="A23" s="11" t="s">
        <v>39</v>
      </c>
      <c r="B23" s="12">
        <v>10360058</v>
      </c>
      <c r="C23" s="16">
        <v>14759260</v>
      </c>
      <c r="D23" s="16">
        <v>15809095</v>
      </c>
      <c r="E23" s="11"/>
      <c r="F23" s="11"/>
      <c r="G23" s="6"/>
      <c r="H23" s="1"/>
      <c r="I23" s="1"/>
      <c r="J23" s="1"/>
      <c r="K23" s="1"/>
    </row>
    <row r="24" spans="1:11" ht="12" customHeight="1">
      <c r="A24" s="11" t="s">
        <v>40</v>
      </c>
      <c r="B24" s="12">
        <v>129231</v>
      </c>
      <c r="C24" s="14">
        <v>1444276</v>
      </c>
      <c r="D24" s="14">
        <v>1982155</v>
      </c>
      <c r="E24" s="11"/>
      <c r="F24" s="20"/>
      <c r="G24" s="20"/>
      <c r="H24" s="20"/>
      <c r="I24" s="1"/>
      <c r="J24" s="1"/>
      <c r="K24" s="1"/>
    </row>
    <row r="25" spans="1:11" ht="12" customHeight="1">
      <c r="A25" s="10" t="s">
        <v>41</v>
      </c>
      <c r="B25" s="15">
        <f t="shared" ref="B25:D25" si="3">SUM(B21:B24)</f>
        <v>20735635</v>
      </c>
      <c r="C25" s="16">
        <f t="shared" si="3"/>
        <v>26393555</v>
      </c>
      <c r="D25" s="16">
        <f t="shared" si="3"/>
        <v>28215119</v>
      </c>
      <c r="E25" s="11"/>
      <c r="F25" s="1"/>
      <c r="G25" s="1"/>
      <c r="H25" s="1"/>
      <c r="I25" s="1"/>
      <c r="J25" s="1"/>
      <c r="K25" s="1"/>
    </row>
    <row r="26" spans="1:11" ht="12" customHeight="1">
      <c r="A26" s="11" t="s">
        <v>42</v>
      </c>
      <c r="B26" s="11"/>
      <c r="C26" s="16"/>
      <c r="D26" s="16"/>
      <c r="E26" s="11"/>
      <c r="F26" s="11"/>
      <c r="G26" s="1"/>
      <c r="H26" s="1"/>
      <c r="I26" s="1"/>
      <c r="J26" s="1"/>
      <c r="K26" s="1"/>
    </row>
    <row r="27" spans="1:11" ht="12" customHeight="1">
      <c r="A27" s="11" t="s">
        <v>43</v>
      </c>
      <c r="B27" s="16">
        <v>2315988</v>
      </c>
      <c r="C27" s="16">
        <v>2793929</v>
      </c>
      <c r="D27" s="16">
        <v>3447698</v>
      </c>
      <c r="E27" s="22"/>
      <c r="F27" s="1"/>
      <c r="G27" s="1"/>
      <c r="H27" s="1"/>
      <c r="I27" s="1"/>
      <c r="J27" s="1"/>
      <c r="K27" s="1"/>
    </row>
    <row r="28" spans="1:11" ht="12" customHeight="1">
      <c r="A28" s="11" t="s">
        <v>44</v>
      </c>
      <c r="B28" s="22"/>
      <c r="C28" s="16">
        <v>0</v>
      </c>
      <c r="D28" s="16">
        <v>0</v>
      </c>
      <c r="E28" s="22"/>
      <c r="F28" s="1"/>
      <c r="G28" s="1"/>
      <c r="H28" s="1"/>
      <c r="I28" s="1"/>
      <c r="J28" s="1"/>
      <c r="K28" s="1"/>
    </row>
    <row r="29" spans="1:11" ht="12" customHeight="1">
      <c r="A29" s="11" t="s">
        <v>45</v>
      </c>
      <c r="B29" s="16">
        <v>-19582</v>
      </c>
      <c r="C29" s="16">
        <v>-23521</v>
      </c>
      <c r="D29" s="16">
        <v>44398</v>
      </c>
      <c r="E29" s="11"/>
      <c r="F29" s="1"/>
      <c r="G29" s="1"/>
      <c r="H29" s="1"/>
      <c r="I29" s="1"/>
      <c r="J29" s="1"/>
      <c r="K29" s="1"/>
    </row>
    <row r="30" spans="1:11" ht="12" customHeight="1">
      <c r="A30" s="11" t="s">
        <v>46</v>
      </c>
      <c r="B30" s="12">
        <v>2942359</v>
      </c>
      <c r="C30" s="14">
        <v>4811749</v>
      </c>
      <c r="D30" s="14">
        <v>7573144</v>
      </c>
      <c r="E30" s="11"/>
      <c r="F30" s="1"/>
      <c r="G30" s="6"/>
      <c r="H30" s="6"/>
      <c r="I30" s="1"/>
      <c r="J30" s="1"/>
      <c r="K30" s="1"/>
    </row>
    <row r="31" spans="1:11" ht="12" customHeight="1">
      <c r="A31" s="10" t="s">
        <v>47</v>
      </c>
      <c r="B31" s="23">
        <f t="shared" ref="B31:D31" si="4">SUM(B27:B30)</f>
        <v>5238765</v>
      </c>
      <c r="C31" s="16">
        <f t="shared" si="4"/>
        <v>7582157</v>
      </c>
      <c r="D31" s="16">
        <f t="shared" si="4"/>
        <v>11065240</v>
      </c>
      <c r="E31" s="1"/>
      <c r="F31" s="1"/>
      <c r="G31" s="1"/>
      <c r="H31" s="1"/>
      <c r="I31" s="1"/>
      <c r="J31" s="1"/>
      <c r="K31" s="1"/>
    </row>
    <row r="32" spans="1:11" ht="12" customHeight="1">
      <c r="A32" s="10" t="s">
        <v>48</v>
      </c>
      <c r="B32" s="18">
        <f t="shared" ref="B32:D32" si="5">B25+B31</f>
        <v>25974400</v>
      </c>
      <c r="C32" s="18">
        <f t="shared" si="5"/>
        <v>33975712</v>
      </c>
      <c r="D32" s="18">
        <f t="shared" si="5"/>
        <v>39280359</v>
      </c>
      <c r="E32" s="1"/>
      <c r="F32" s="1"/>
      <c r="G32" s="1"/>
      <c r="H32" s="1"/>
      <c r="I32" s="1"/>
      <c r="J32" s="1"/>
      <c r="K32" s="1"/>
    </row>
    <row r="33" spans="1:11" ht="12" customHeight="1">
      <c r="A33" s="1"/>
      <c r="B33" s="1"/>
      <c r="C33" s="1"/>
      <c r="D33" s="1"/>
      <c r="E33" s="1"/>
      <c r="F33" s="1"/>
      <c r="G33" s="1"/>
      <c r="H33" s="1"/>
      <c r="I33" s="1"/>
      <c r="J33" s="1"/>
      <c r="K33" s="1"/>
    </row>
    <row r="34" spans="1:11" ht="12" customHeight="1">
      <c r="A34" s="1"/>
      <c r="B34" s="1"/>
      <c r="C34" s="1"/>
      <c r="D34" s="1"/>
      <c r="E34" s="1"/>
      <c r="F34" s="1"/>
      <c r="G34" s="1"/>
      <c r="H34" s="1"/>
      <c r="I34" s="1"/>
      <c r="J34" s="1"/>
      <c r="K34" s="1"/>
    </row>
    <row r="35" spans="1:11" ht="12" customHeight="1">
      <c r="A35" s="1"/>
      <c r="B35" s="1"/>
      <c r="C35" s="1"/>
      <c r="D35" s="1"/>
      <c r="E35" s="1"/>
      <c r="F35" s="1"/>
      <c r="G35" s="1"/>
      <c r="H35" s="1"/>
      <c r="I35" s="1"/>
      <c r="J35" s="1"/>
      <c r="K35" s="1"/>
    </row>
    <row r="36" spans="1:11" ht="12" customHeight="1">
      <c r="A36" s="1"/>
      <c r="B36" s="1"/>
      <c r="C36" s="1"/>
      <c r="D36" s="1"/>
      <c r="E36" s="1"/>
      <c r="F36" s="1"/>
      <c r="G36" s="1"/>
      <c r="H36" s="1"/>
      <c r="I36" s="1"/>
      <c r="J36" s="1"/>
      <c r="K36" s="1"/>
    </row>
    <row r="37" spans="1:11" ht="12" customHeight="1">
      <c r="A37" s="1"/>
      <c r="B37" s="1"/>
      <c r="C37" s="1"/>
      <c r="D37" s="1"/>
      <c r="E37" s="1"/>
      <c r="F37" s="1"/>
      <c r="G37" s="1"/>
      <c r="H37" s="1"/>
      <c r="I37" s="1"/>
      <c r="J37" s="1"/>
      <c r="K37" s="1"/>
    </row>
    <row r="38" spans="1:11" ht="12" customHeight="1">
      <c r="A38" s="1"/>
      <c r="B38" s="1"/>
      <c r="C38" s="1"/>
      <c r="D38" s="1"/>
      <c r="E38" s="1"/>
      <c r="F38" s="1"/>
      <c r="G38" s="1"/>
      <c r="H38" s="1"/>
      <c r="I38" s="1"/>
      <c r="J38" s="1"/>
      <c r="K38" s="1"/>
    </row>
    <row r="39" spans="1:11" ht="12" customHeight="1">
      <c r="A39" s="1"/>
      <c r="B39" s="1"/>
      <c r="C39" s="1"/>
      <c r="D39" s="1"/>
      <c r="E39" s="1"/>
      <c r="F39" s="1"/>
      <c r="G39" s="1"/>
      <c r="H39" s="1"/>
      <c r="I39" s="1"/>
      <c r="J39" s="1"/>
      <c r="K39" s="1"/>
    </row>
    <row r="40" spans="1:11" ht="12" customHeight="1">
      <c r="A40" s="1"/>
      <c r="B40" s="1"/>
      <c r="C40" s="1"/>
      <c r="D40" s="1"/>
      <c r="E40" s="1"/>
      <c r="F40" s="1"/>
      <c r="G40" s="1"/>
      <c r="H40" s="1"/>
      <c r="I40" s="1"/>
      <c r="J40" s="1"/>
      <c r="K40" s="1"/>
    </row>
    <row r="41" spans="1:11" ht="12" customHeight="1">
      <c r="A41" s="1"/>
      <c r="B41" s="1"/>
      <c r="C41" s="1"/>
      <c r="D41" s="1"/>
      <c r="E41" s="1"/>
      <c r="F41" s="1"/>
      <c r="G41" s="1"/>
      <c r="H41" s="1"/>
      <c r="I41" s="1"/>
      <c r="J41" s="1"/>
      <c r="K41" s="1"/>
    </row>
    <row r="42" spans="1:11" ht="12" customHeight="1">
      <c r="A42" s="1"/>
      <c r="B42" s="1"/>
      <c r="C42" s="1"/>
      <c r="D42" s="1"/>
      <c r="E42" s="1"/>
      <c r="F42" s="1"/>
      <c r="G42" s="1"/>
      <c r="H42" s="1"/>
      <c r="I42" s="1"/>
      <c r="J42" s="1"/>
      <c r="K42" s="1"/>
    </row>
    <row r="43" spans="1:11" ht="12" customHeight="1">
      <c r="A43" s="1"/>
      <c r="B43" s="1"/>
      <c r="C43" s="1"/>
      <c r="D43" s="1"/>
      <c r="E43" s="1"/>
      <c r="F43" s="1"/>
      <c r="G43" s="1"/>
      <c r="H43" s="1"/>
      <c r="I43" s="1"/>
      <c r="J43" s="1"/>
      <c r="K43" s="1"/>
    </row>
    <row r="44" spans="1:11" ht="12" customHeight="1">
      <c r="A44" s="1"/>
      <c r="B44" s="1"/>
      <c r="C44" s="1"/>
      <c r="D44" s="1"/>
      <c r="E44" s="1"/>
      <c r="F44" s="1"/>
      <c r="G44" s="1"/>
      <c r="H44" s="1"/>
      <c r="I44" s="1"/>
      <c r="J44" s="1"/>
      <c r="K44" s="1"/>
    </row>
    <row r="45" spans="1:11" ht="12" customHeight="1">
      <c r="A45" s="1"/>
      <c r="B45" s="1"/>
      <c r="C45" s="1"/>
      <c r="D45" s="1"/>
      <c r="E45" s="1"/>
      <c r="F45" s="1"/>
      <c r="G45" s="1"/>
      <c r="H45" s="1"/>
      <c r="I45" s="1"/>
      <c r="J45" s="1"/>
      <c r="K45" s="1"/>
    </row>
    <row r="46" spans="1:11" ht="12" customHeight="1">
      <c r="A46" s="1"/>
      <c r="B46" s="1"/>
      <c r="C46" s="1"/>
      <c r="D46" s="1"/>
      <c r="E46" s="1"/>
      <c r="F46" s="1"/>
      <c r="G46" s="1"/>
      <c r="H46" s="1"/>
      <c r="I46" s="1"/>
      <c r="J46" s="1"/>
      <c r="K46" s="1"/>
    </row>
    <row r="47" spans="1:11" ht="12" customHeight="1">
      <c r="A47" s="1"/>
      <c r="B47" s="1"/>
      <c r="C47" s="1"/>
      <c r="D47" s="1"/>
      <c r="E47" s="1"/>
      <c r="F47" s="1"/>
      <c r="G47" s="1"/>
      <c r="H47" s="1"/>
      <c r="I47" s="1"/>
      <c r="J47" s="1"/>
      <c r="K47" s="1"/>
    </row>
    <row r="48" spans="1:11" ht="12" customHeight="1">
      <c r="A48" s="1"/>
      <c r="B48" s="1"/>
      <c r="C48" s="1"/>
      <c r="D48" s="1"/>
      <c r="E48" s="1"/>
      <c r="F48" s="1"/>
      <c r="G48" s="1"/>
      <c r="H48" s="1"/>
      <c r="I48" s="1"/>
      <c r="J48" s="1"/>
      <c r="K48" s="1"/>
    </row>
    <row r="49" spans="1:11" ht="12" customHeight="1">
      <c r="A49" s="1"/>
      <c r="B49" s="1"/>
      <c r="C49" s="1"/>
      <c r="D49" s="1"/>
      <c r="E49" s="1"/>
      <c r="F49" s="1"/>
      <c r="G49" s="1"/>
      <c r="H49" s="1"/>
      <c r="I49" s="1"/>
      <c r="J49" s="1"/>
      <c r="K49" s="1"/>
    </row>
    <row r="50" spans="1:11" ht="12" customHeight="1">
      <c r="A50" s="1"/>
      <c r="B50" s="1"/>
      <c r="C50" s="1"/>
      <c r="D50" s="1"/>
      <c r="E50" s="1"/>
      <c r="F50" s="1"/>
      <c r="G50" s="1"/>
      <c r="H50" s="1"/>
      <c r="I50" s="1"/>
      <c r="J50" s="1"/>
      <c r="K50" s="1"/>
    </row>
    <row r="51" spans="1:11" ht="12" customHeight="1">
      <c r="A51" s="1"/>
      <c r="B51" s="1"/>
      <c r="C51" s="1"/>
      <c r="D51" s="1"/>
      <c r="E51" s="1"/>
      <c r="F51" s="1"/>
      <c r="G51" s="1"/>
      <c r="H51" s="1"/>
      <c r="I51" s="1"/>
      <c r="J51" s="1"/>
      <c r="K51" s="1"/>
    </row>
    <row r="52" spans="1:11" ht="12" customHeight="1">
      <c r="A52" s="1"/>
      <c r="B52" s="1"/>
      <c r="C52" s="1"/>
      <c r="D52" s="1"/>
      <c r="E52" s="1"/>
      <c r="F52" s="1"/>
      <c r="G52" s="1"/>
      <c r="H52" s="1"/>
      <c r="I52" s="1"/>
      <c r="J52" s="1"/>
      <c r="K52" s="1"/>
    </row>
    <row r="53" spans="1:11" ht="12" customHeight="1">
      <c r="A53" s="1"/>
      <c r="B53" s="1"/>
      <c r="C53" s="1"/>
      <c r="D53" s="1"/>
      <c r="E53" s="1"/>
      <c r="F53" s="1"/>
      <c r="G53" s="1"/>
      <c r="H53" s="1"/>
      <c r="I53" s="1"/>
      <c r="J53" s="1"/>
      <c r="K53" s="1"/>
    </row>
    <row r="54" spans="1:11" ht="12" customHeight="1">
      <c r="A54" s="1"/>
      <c r="B54" s="1"/>
      <c r="C54" s="1"/>
      <c r="D54" s="1"/>
      <c r="E54" s="1"/>
      <c r="F54" s="1"/>
      <c r="G54" s="1"/>
      <c r="H54" s="1"/>
      <c r="I54" s="1"/>
      <c r="J54" s="1"/>
      <c r="K54" s="1"/>
    </row>
    <row r="55" spans="1:11" ht="12" customHeight="1">
      <c r="A55" s="1"/>
      <c r="B55" s="1"/>
      <c r="C55" s="1"/>
      <c r="D55" s="1"/>
      <c r="E55" s="1"/>
      <c r="F55" s="1"/>
      <c r="G55" s="1"/>
      <c r="H55" s="1"/>
      <c r="I55" s="1"/>
      <c r="J55" s="1"/>
      <c r="K55" s="1"/>
    </row>
    <row r="56" spans="1:11" ht="12" customHeight="1">
      <c r="A56" s="1"/>
      <c r="B56" s="1"/>
      <c r="C56" s="1"/>
      <c r="D56" s="1"/>
      <c r="E56" s="1"/>
      <c r="F56" s="1"/>
      <c r="G56" s="1"/>
      <c r="H56" s="1"/>
      <c r="I56" s="1"/>
      <c r="J56" s="1"/>
      <c r="K56" s="1"/>
    </row>
    <row r="57" spans="1:11" ht="12" customHeight="1">
      <c r="A57" s="1"/>
      <c r="B57" s="1"/>
      <c r="C57" s="1"/>
      <c r="D57" s="1"/>
      <c r="E57" s="1"/>
      <c r="F57" s="1"/>
      <c r="G57" s="1"/>
      <c r="H57" s="1"/>
      <c r="I57" s="1"/>
      <c r="J57" s="1"/>
      <c r="K57" s="1"/>
    </row>
    <row r="58" spans="1:11" ht="12" customHeight="1">
      <c r="A58" s="1"/>
      <c r="B58" s="1"/>
      <c r="C58" s="1"/>
      <c r="D58" s="1"/>
      <c r="E58" s="1"/>
      <c r="F58" s="1"/>
      <c r="G58" s="1"/>
      <c r="H58" s="1"/>
      <c r="I58" s="1"/>
      <c r="J58" s="1"/>
      <c r="K58" s="1"/>
    </row>
    <row r="59" spans="1:11" ht="12" customHeight="1">
      <c r="A59" s="1"/>
      <c r="B59" s="1"/>
      <c r="C59" s="1"/>
      <c r="D59" s="1"/>
      <c r="E59" s="1"/>
      <c r="F59" s="1"/>
      <c r="G59" s="1"/>
      <c r="H59" s="1"/>
      <c r="I59" s="1"/>
      <c r="J59" s="1"/>
      <c r="K59" s="1"/>
    </row>
    <row r="60" spans="1:11" ht="12" customHeight="1">
      <c r="A60" s="1"/>
      <c r="B60" s="1"/>
      <c r="C60" s="1"/>
      <c r="D60" s="1"/>
      <c r="E60" s="1"/>
      <c r="F60" s="1"/>
      <c r="G60" s="1"/>
      <c r="H60" s="1"/>
      <c r="I60" s="1"/>
      <c r="J60" s="1"/>
      <c r="K60" s="1"/>
    </row>
    <row r="61" spans="1:11" ht="12" customHeight="1">
      <c r="A61" s="1"/>
      <c r="B61" s="1"/>
      <c r="C61" s="1"/>
      <c r="D61" s="1"/>
      <c r="E61" s="1"/>
      <c r="F61" s="1"/>
      <c r="G61" s="1"/>
      <c r="H61" s="1"/>
      <c r="I61" s="1"/>
      <c r="J61" s="1"/>
      <c r="K61" s="1"/>
    </row>
    <row r="62" spans="1:11" ht="12" customHeight="1">
      <c r="A62" s="1"/>
      <c r="B62" s="1"/>
      <c r="C62" s="1"/>
      <c r="D62" s="1"/>
      <c r="E62" s="1"/>
      <c r="F62" s="1"/>
      <c r="G62" s="1"/>
      <c r="H62" s="1"/>
      <c r="I62" s="1"/>
      <c r="J62" s="1"/>
      <c r="K62" s="1"/>
    </row>
    <row r="63" spans="1:11" ht="12" customHeight="1">
      <c r="A63" s="1"/>
      <c r="B63" s="1"/>
      <c r="C63" s="1"/>
      <c r="D63" s="1"/>
      <c r="E63" s="1"/>
      <c r="F63" s="1"/>
      <c r="G63" s="1"/>
      <c r="H63" s="1"/>
      <c r="I63" s="1"/>
      <c r="J63" s="1"/>
      <c r="K63" s="1"/>
    </row>
    <row r="64" spans="1:11" ht="12" customHeight="1">
      <c r="A64" s="1"/>
      <c r="B64" s="1"/>
      <c r="C64" s="1"/>
      <c r="D64" s="1"/>
      <c r="E64" s="1"/>
      <c r="F64" s="1"/>
      <c r="G64" s="1"/>
      <c r="H64" s="1"/>
      <c r="I64" s="1"/>
      <c r="J64" s="1"/>
      <c r="K64" s="1"/>
    </row>
    <row r="65" spans="1:11" ht="12" customHeight="1">
      <c r="A65" s="1"/>
      <c r="B65" s="1"/>
      <c r="C65" s="1"/>
      <c r="D65" s="1"/>
      <c r="E65" s="1"/>
      <c r="F65" s="1"/>
      <c r="G65" s="1"/>
      <c r="H65" s="1"/>
      <c r="I65" s="1"/>
      <c r="J65" s="1"/>
      <c r="K65" s="1"/>
    </row>
    <row r="66" spans="1:11" ht="12" customHeight="1">
      <c r="A66" s="1"/>
      <c r="B66" s="1"/>
      <c r="C66" s="1"/>
      <c r="D66" s="1"/>
      <c r="E66" s="1"/>
      <c r="F66" s="1"/>
      <c r="G66" s="1"/>
      <c r="H66" s="1"/>
      <c r="I66" s="1"/>
      <c r="J66" s="1"/>
      <c r="K66" s="1"/>
    </row>
    <row r="67" spans="1:11" ht="12" customHeight="1">
      <c r="A67" s="1"/>
      <c r="B67" s="1"/>
      <c r="C67" s="1"/>
      <c r="D67" s="1"/>
      <c r="E67" s="1"/>
      <c r="F67" s="1"/>
      <c r="G67" s="1"/>
      <c r="H67" s="1"/>
      <c r="I67" s="1"/>
      <c r="J67" s="1"/>
      <c r="K67" s="1"/>
    </row>
    <row r="68" spans="1:11" ht="12" customHeight="1">
      <c r="A68" s="1"/>
      <c r="B68" s="1"/>
      <c r="C68" s="1"/>
      <c r="D68" s="1"/>
      <c r="E68" s="1"/>
      <c r="F68" s="1"/>
      <c r="G68" s="1"/>
      <c r="H68" s="1"/>
      <c r="I68" s="1"/>
      <c r="J68" s="1"/>
      <c r="K68" s="1"/>
    </row>
    <row r="69" spans="1:11" ht="12" customHeight="1">
      <c r="A69" s="1"/>
      <c r="B69" s="1"/>
      <c r="C69" s="1"/>
      <c r="D69" s="1"/>
      <c r="E69" s="1"/>
      <c r="F69" s="1"/>
      <c r="G69" s="1"/>
      <c r="H69" s="1"/>
      <c r="I69" s="1"/>
      <c r="J69" s="1"/>
      <c r="K69" s="1"/>
    </row>
    <row r="70" spans="1:11" ht="12" customHeight="1">
      <c r="A70" s="1"/>
      <c r="B70" s="1"/>
      <c r="C70" s="1"/>
      <c r="D70" s="1"/>
      <c r="E70" s="1"/>
      <c r="F70" s="1"/>
      <c r="G70" s="1"/>
      <c r="H70" s="1"/>
      <c r="I70" s="1"/>
      <c r="J70" s="1"/>
      <c r="K70" s="1"/>
    </row>
    <row r="71" spans="1:11" ht="12" customHeight="1">
      <c r="A71" s="1"/>
      <c r="B71" s="1"/>
      <c r="C71" s="1"/>
      <c r="D71" s="1"/>
      <c r="E71" s="1"/>
      <c r="F71" s="1"/>
      <c r="G71" s="1"/>
      <c r="H71" s="1"/>
      <c r="I71" s="1"/>
      <c r="J71" s="1"/>
      <c r="K71" s="1"/>
    </row>
    <row r="72" spans="1:11" ht="12" customHeight="1">
      <c r="A72" s="1"/>
      <c r="B72" s="1"/>
      <c r="C72" s="1"/>
      <c r="D72" s="1"/>
      <c r="E72" s="1"/>
      <c r="F72" s="1"/>
      <c r="G72" s="1"/>
      <c r="H72" s="1"/>
      <c r="I72" s="1"/>
      <c r="J72" s="1"/>
      <c r="K72" s="1"/>
    </row>
    <row r="73" spans="1:11" ht="12" customHeight="1">
      <c r="A73" s="1"/>
      <c r="B73" s="1"/>
      <c r="C73" s="1"/>
      <c r="D73" s="1"/>
      <c r="E73" s="1"/>
      <c r="F73" s="1"/>
      <c r="G73" s="1"/>
      <c r="H73" s="1"/>
      <c r="I73" s="1"/>
      <c r="J73" s="1"/>
      <c r="K73" s="1"/>
    </row>
    <row r="74" spans="1:11" ht="12" customHeight="1">
      <c r="A74" s="1"/>
      <c r="B74" s="1"/>
      <c r="C74" s="1"/>
      <c r="D74" s="1"/>
      <c r="E74" s="1"/>
      <c r="F74" s="1"/>
      <c r="G74" s="1"/>
      <c r="H74" s="1"/>
      <c r="I74" s="1"/>
      <c r="J74" s="1"/>
      <c r="K74" s="1"/>
    </row>
    <row r="75" spans="1:11" ht="12" customHeight="1">
      <c r="A75" s="1"/>
      <c r="B75" s="1"/>
      <c r="C75" s="1"/>
      <c r="D75" s="1"/>
      <c r="E75" s="1"/>
      <c r="F75" s="1"/>
      <c r="G75" s="1"/>
      <c r="H75" s="1"/>
      <c r="I75" s="1"/>
      <c r="J75" s="1"/>
      <c r="K75" s="1"/>
    </row>
    <row r="76" spans="1:11" ht="12" customHeight="1">
      <c r="A76" s="1"/>
      <c r="B76" s="1"/>
      <c r="C76" s="1"/>
      <c r="D76" s="1"/>
      <c r="E76" s="1"/>
      <c r="F76" s="1"/>
      <c r="G76" s="1"/>
      <c r="H76" s="1"/>
      <c r="I76" s="1"/>
      <c r="J76" s="1"/>
      <c r="K76" s="1"/>
    </row>
    <row r="77" spans="1:11" ht="12" customHeight="1">
      <c r="A77" s="1"/>
      <c r="B77" s="1"/>
      <c r="C77" s="1"/>
      <c r="D77" s="1"/>
      <c r="E77" s="1"/>
      <c r="F77" s="1"/>
      <c r="G77" s="1"/>
      <c r="H77" s="1"/>
      <c r="I77" s="1"/>
      <c r="J77" s="1"/>
      <c r="K77" s="1"/>
    </row>
    <row r="78" spans="1:11" ht="12" customHeight="1">
      <c r="A78" s="1"/>
      <c r="B78" s="1"/>
      <c r="C78" s="1"/>
      <c r="D78" s="1"/>
      <c r="E78" s="1"/>
      <c r="F78" s="1"/>
      <c r="G78" s="1"/>
      <c r="H78" s="1"/>
      <c r="I78" s="1"/>
      <c r="J78" s="1"/>
      <c r="K78" s="1"/>
    </row>
    <row r="79" spans="1:11" ht="12" customHeight="1">
      <c r="A79" s="1"/>
      <c r="B79" s="1"/>
      <c r="C79" s="1"/>
      <c r="D79" s="1"/>
      <c r="E79" s="1"/>
      <c r="F79" s="1"/>
      <c r="G79" s="1"/>
      <c r="H79" s="1"/>
      <c r="I79" s="1"/>
      <c r="J79" s="1"/>
      <c r="K79" s="1"/>
    </row>
    <row r="80" spans="1:11" ht="12" customHeight="1">
      <c r="A80" s="1"/>
      <c r="B80" s="1"/>
      <c r="C80" s="1"/>
      <c r="D80" s="1"/>
      <c r="E80" s="1"/>
      <c r="F80" s="1"/>
      <c r="G80" s="1"/>
      <c r="H80" s="1"/>
      <c r="I80" s="1"/>
      <c r="J80" s="1"/>
      <c r="K80" s="1"/>
    </row>
    <row r="81" spans="1:11" ht="12" customHeight="1">
      <c r="A81" s="1"/>
      <c r="B81" s="1"/>
      <c r="C81" s="1"/>
      <c r="D81" s="1"/>
      <c r="E81" s="1"/>
      <c r="F81" s="1"/>
      <c r="G81" s="1"/>
      <c r="H81" s="1"/>
      <c r="I81" s="1"/>
      <c r="J81" s="1"/>
      <c r="K81" s="1"/>
    </row>
    <row r="82" spans="1:11" ht="12" customHeight="1">
      <c r="A82" s="1"/>
      <c r="B82" s="1"/>
      <c r="C82" s="1"/>
      <c r="D82" s="1"/>
      <c r="E82" s="1"/>
      <c r="F82" s="1"/>
      <c r="G82" s="1"/>
      <c r="H82" s="1"/>
      <c r="I82" s="1"/>
      <c r="J82" s="1"/>
      <c r="K82" s="1"/>
    </row>
    <row r="83" spans="1:11" ht="12" customHeight="1">
      <c r="A83" s="1"/>
      <c r="B83" s="1"/>
      <c r="C83" s="1"/>
      <c r="D83" s="1"/>
      <c r="E83" s="1"/>
      <c r="F83" s="1"/>
      <c r="G83" s="1"/>
      <c r="H83" s="1"/>
      <c r="I83" s="1"/>
      <c r="J83" s="1"/>
      <c r="K83" s="1"/>
    </row>
    <row r="84" spans="1:11" ht="12" customHeight="1">
      <c r="A84" s="1"/>
      <c r="B84" s="1"/>
      <c r="C84" s="1"/>
      <c r="D84" s="1"/>
      <c r="E84" s="1"/>
      <c r="F84" s="1"/>
      <c r="G84" s="1"/>
      <c r="H84" s="1"/>
      <c r="I84" s="1"/>
      <c r="J84" s="1"/>
      <c r="K84" s="1"/>
    </row>
    <row r="85" spans="1:11" ht="12" customHeight="1">
      <c r="A85" s="1"/>
      <c r="B85" s="1"/>
      <c r="C85" s="1"/>
      <c r="D85" s="1"/>
      <c r="E85" s="1"/>
      <c r="F85" s="1"/>
      <c r="G85" s="1"/>
      <c r="H85" s="1"/>
      <c r="I85" s="1"/>
      <c r="J85" s="1"/>
      <c r="K85" s="1"/>
    </row>
    <row r="86" spans="1:11" ht="12" customHeight="1">
      <c r="A86" s="1"/>
      <c r="B86" s="1"/>
      <c r="C86" s="1"/>
      <c r="D86" s="1"/>
      <c r="E86" s="1"/>
      <c r="F86" s="1"/>
      <c r="G86" s="1"/>
      <c r="H86" s="1"/>
      <c r="I86" s="1"/>
      <c r="J86" s="1"/>
      <c r="K86" s="1"/>
    </row>
    <row r="87" spans="1:11" ht="12" customHeight="1">
      <c r="A87" s="1"/>
      <c r="B87" s="1"/>
      <c r="C87" s="1"/>
      <c r="D87" s="1"/>
      <c r="E87" s="1"/>
      <c r="F87" s="1"/>
      <c r="G87" s="1"/>
      <c r="H87" s="1"/>
      <c r="I87" s="1"/>
      <c r="J87" s="1"/>
      <c r="K87" s="1"/>
    </row>
    <row r="88" spans="1:11" ht="12" customHeight="1">
      <c r="A88" s="1"/>
      <c r="B88" s="1"/>
      <c r="C88" s="1"/>
      <c r="D88" s="1"/>
      <c r="E88" s="1"/>
      <c r="F88" s="1"/>
      <c r="G88" s="1"/>
      <c r="H88" s="1"/>
      <c r="I88" s="1"/>
      <c r="J88" s="1"/>
      <c r="K88" s="1"/>
    </row>
    <row r="89" spans="1:11" ht="12" customHeight="1">
      <c r="A89" s="1"/>
      <c r="B89" s="1"/>
      <c r="C89" s="1"/>
      <c r="D89" s="1"/>
      <c r="E89" s="1"/>
      <c r="F89" s="1"/>
      <c r="G89" s="1"/>
      <c r="H89" s="1"/>
      <c r="I89" s="1"/>
      <c r="J89" s="1"/>
      <c r="K89" s="1"/>
    </row>
    <row r="90" spans="1:11" ht="12" customHeight="1">
      <c r="A90" s="1"/>
      <c r="B90" s="1"/>
      <c r="C90" s="1"/>
      <c r="D90" s="1"/>
      <c r="E90" s="1"/>
      <c r="F90" s="1"/>
      <c r="G90" s="1"/>
      <c r="H90" s="1"/>
      <c r="I90" s="1"/>
      <c r="J90" s="1"/>
      <c r="K90" s="1"/>
    </row>
    <row r="91" spans="1:11" ht="12" customHeight="1">
      <c r="A91" s="1"/>
      <c r="B91" s="1"/>
      <c r="C91" s="1"/>
      <c r="D91" s="1"/>
      <c r="E91" s="1"/>
      <c r="F91" s="1"/>
      <c r="G91" s="1"/>
      <c r="H91" s="1"/>
      <c r="I91" s="1"/>
      <c r="J91" s="1"/>
      <c r="K91" s="1"/>
    </row>
    <row r="92" spans="1:11" ht="12" customHeight="1">
      <c r="A92" s="1"/>
      <c r="B92" s="1"/>
      <c r="C92" s="1"/>
      <c r="D92" s="1"/>
      <c r="E92" s="1"/>
      <c r="F92" s="1"/>
      <c r="G92" s="1"/>
      <c r="H92" s="1"/>
      <c r="I92" s="1"/>
      <c r="J92" s="1"/>
      <c r="K92" s="1"/>
    </row>
    <row r="93" spans="1:11" ht="12" customHeight="1">
      <c r="A93" s="1"/>
      <c r="B93" s="1"/>
      <c r="C93" s="1"/>
      <c r="D93" s="1"/>
      <c r="E93" s="1"/>
      <c r="F93" s="1"/>
      <c r="G93" s="1"/>
      <c r="H93" s="1"/>
      <c r="I93" s="1"/>
      <c r="J93" s="1"/>
      <c r="K93" s="1"/>
    </row>
    <row r="94" spans="1:11" ht="12" customHeight="1">
      <c r="A94" s="1"/>
      <c r="B94" s="1"/>
      <c r="C94" s="1"/>
      <c r="D94" s="1"/>
      <c r="E94" s="1"/>
      <c r="F94" s="1"/>
      <c r="G94" s="1"/>
      <c r="H94" s="1"/>
      <c r="I94" s="1"/>
      <c r="J94" s="1"/>
      <c r="K94" s="1"/>
    </row>
    <row r="95" spans="1:11" ht="12" customHeight="1">
      <c r="A95" s="1"/>
      <c r="B95" s="1"/>
      <c r="C95" s="1"/>
      <c r="D95" s="1"/>
      <c r="E95" s="1"/>
      <c r="F95" s="1"/>
      <c r="G95" s="1"/>
      <c r="H95" s="1"/>
      <c r="I95" s="1"/>
      <c r="J95" s="1"/>
      <c r="K95" s="1"/>
    </row>
    <row r="96" spans="1:11" ht="12" customHeight="1">
      <c r="A96" s="1"/>
      <c r="B96" s="1"/>
      <c r="C96" s="1"/>
      <c r="D96" s="1"/>
      <c r="E96" s="1"/>
      <c r="F96" s="1"/>
      <c r="G96" s="1"/>
      <c r="H96" s="1"/>
      <c r="I96" s="1"/>
      <c r="J96" s="1"/>
      <c r="K96" s="1"/>
    </row>
    <row r="97" spans="1:11" ht="12" customHeight="1">
      <c r="A97" s="1"/>
      <c r="B97" s="1"/>
      <c r="C97" s="1"/>
      <c r="D97" s="1"/>
      <c r="E97" s="1"/>
      <c r="F97" s="1"/>
      <c r="G97" s="1"/>
      <c r="H97" s="1"/>
      <c r="I97" s="1"/>
      <c r="J97" s="1"/>
      <c r="K97" s="1"/>
    </row>
    <row r="98" spans="1:11" ht="12" customHeight="1">
      <c r="A98" s="1"/>
      <c r="B98" s="1"/>
      <c r="C98" s="1"/>
      <c r="D98" s="1"/>
      <c r="E98" s="1"/>
      <c r="F98" s="1"/>
      <c r="G98" s="1"/>
      <c r="H98" s="1"/>
      <c r="I98" s="1"/>
      <c r="J98" s="1"/>
      <c r="K98" s="1"/>
    </row>
    <row r="99" spans="1:11" ht="12" customHeight="1">
      <c r="A99" s="1"/>
      <c r="B99" s="1"/>
      <c r="C99" s="1"/>
      <c r="D99" s="1"/>
      <c r="E99" s="1"/>
      <c r="F99" s="1"/>
      <c r="G99" s="1"/>
      <c r="H99" s="1"/>
      <c r="I99" s="1"/>
      <c r="J99" s="1"/>
      <c r="K99" s="1"/>
    </row>
    <row r="100" spans="1:11" ht="12" customHeight="1">
      <c r="A100" s="1"/>
      <c r="B100" s="1"/>
      <c r="C100" s="1"/>
      <c r="D100" s="1"/>
      <c r="E100" s="1"/>
      <c r="F100" s="1"/>
      <c r="G100" s="1"/>
      <c r="H100" s="1"/>
      <c r="I100" s="1"/>
      <c r="J100" s="1"/>
      <c r="K100" s="1"/>
    </row>
  </sheetData>
  <mergeCells count="1">
    <mergeCell ref="A1:D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
  <sheetViews>
    <sheetView zoomScale="80" zoomScaleNormal="80" workbookViewId="0">
      <pane ySplit="2" topLeftCell="A3" activePane="bottomLeft" state="frozen"/>
      <selection pane="bottomLeft" activeCell="E25" sqref="E25:H25"/>
    </sheetView>
  </sheetViews>
  <sheetFormatPr defaultColWidth="14.453125" defaultRowHeight="15" customHeight="1"/>
  <cols>
    <col min="1" max="1" width="59.54296875" customWidth="1"/>
    <col min="2" max="4" width="14.453125" customWidth="1"/>
    <col min="5" max="5" width="15.54296875" customWidth="1"/>
    <col min="6" max="8" width="14.453125" customWidth="1"/>
    <col min="9" max="9" width="13.36328125" bestFit="1" customWidth="1"/>
    <col min="10" max="12" width="11.54296875" bestFit="1" customWidth="1"/>
  </cols>
  <sheetData>
    <row r="1" spans="1:12" ht="14.25" customHeight="1">
      <c r="A1" s="24" t="s">
        <v>49</v>
      </c>
      <c r="B1" s="25"/>
      <c r="C1" s="25"/>
      <c r="D1" s="25"/>
      <c r="E1" s="25" t="s">
        <v>141</v>
      </c>
      <c r="F1" s="25" t="s">
        <v>141</v>
      </c>
      <c r="G1" s="25" t="s">
        <v>141</v>
      </c>
      <c r="H1" s="25" t="s">
        <v>141</v>
      </c>
    </row>
    <row r="2" spans="1:12" ht="14.25" customHeight="1">
      <c r="A2" s="2" t="s">
        <v>1</v>
      </c>
      <c r="B2" s="3" t="s">
        <v>2</v>
      </c>
      <c r="C2" s="3" t="s">
        <v>3</v>
      </c>
      <c r="D2" s="3" t="s">
        <v>4</v>
      </c>
      <c r="E2" s="3">
        <v>2021</v>
      </c>
      <c r="F2" s="3">
        <v>2022</v>
      </c>
      <c r="G2" s="3">
        <v>2023</v>
      </c>
      <c r="H2" s="3">
        <v>2024</v>
      </c>
    </row>
    <row r="3" spans="1:12" ht="14.25" customHeight="1">
      <c r="A3" s="25" t="s">
        <v>50</v>
      </c>
      <c r="B3" s="26">
        <f t="shared" ref="B3:H3" si="0">B10+B17+B24+B31</f>
        <v>15428752</v>
      </c>
      <c r="C3" s="26">
        <f t="shared" si="0"/>
        <v>19859230</v>
      </c>
      <c r="D3" s="26">
        <f t="shared" si="0"/>
        <v>24756675</v>
      </c>
      <c r="E3" s="26">
        <f t="shared" si="0"/>
        <v>28450601.211875249</v>
      </c>
      <c r="F3" s="26">
        <f t="shared" si="0"/>
        <v>33461471.562312212</v>
      </c>
      <c r="G3" s="26">
        <f t="shared" si="0"/>
        <v>38173270.285082638</v>
      </c>
      <c r="H3" s="26">
        <f t="shared" si="0"/>
        <v>42882607.805020079</v>
      </c>
      <c r="J3" s="97"/>
      <c r="K3" s="97"/>
    </row>
    <row r="4" spans="1:12" ht="14.25" customHeight="1">
      <c r="A4" s="25" t="s">
        <v>51</v>
      </c>
      <c r="B4" s="27">
        <v>365589</v>
      </c>
      <c r="C4" s="27">
        <v>297217</v>
      </c>
      <c r="D4" s="27">
        <v>239381</v>
      </c>
      <c r="E4" s="95">
        <f t="shared" ref="E4:F4" si="1">D4*(1+E5)</f>
        <v>193705.83812687785</v>
      </c>
      <c r="F4" s="95">
        <f t="shared" ref="F4" si="2">E4*(1+F5)</f>
        <v>156379.00173325167</v>
      </c>
      <c r="G4" s="95">
        <f t="shared" ref="G4" si="3">F4*(1+G5)</f>
        <v>126393.02674674911</v>
      </c>
      <c r="H4" s="95">
        <f t="shared" ref="H4" si="4">G4*(1+H5)</f>
        <v>102097.09627329883</v>
      </c>
      <c r="I4" s="96"/>
      <c r="J4" s="96"/>
      <c r="K4" s="96"/>
      <c r="L4" s="96"/>
    </row>
    <row r="5" spans="1:12" ht="14.25" customHeight="1">
      <c r="A5" s="28" t="s">
        <v>52</v>
      </c>
      <c r="B5" s="25"/>
      <c r="C5" s="29">
        <f>C4/B4-1</f>
        <v>-0.18701875603478224</v>
      </c>
      <c r="D5" s="29">
        <f t="shared" ref="C5:D5" si="5">D4/C4-1</f>
        <v>-0.19459183021159621</v>
      </c>
      <c r="E5" s="29">
        <f>AVERAGE(C5:D5)</f>
        <v>-0.19080529312318922</v>
      </c>
      <c r="F5" s="29">
        <f t="shared" ref="F5:H5" si="6">AVERAGE(D5:E5)</f>
        <v>-0.19269856166739271</v>
      </c>
      <c r="G5" s="29">
        <f t="shared" si="6"/>
        <v>-0.19175192739529096</v>
      </c>
      <c r="H5" s="29">
        <f t="shared" si="6"/>
        <v>-0.19222524453134182</v>
      </c>
    </row>
    <row r="6" spans="1:12" ht="14.25" customHeight="1">
      <c r="A6" s="30" t="s">
        <v>53</v>
      </c>
      <c r="B6" s="31">
        <f t="shared" ref="B6:H6" si="7">B3+B4</f>
        <v>15794341</v>
      </c>
      <c r="C6" s="31">
        <f t="shared" si="7"/>
        <v>20156447</v>
      </c>
      <c r="D6" s="31">
        <f t="shared" si="7"/>
        <v>24996056</v>
      </c>
      <c r="E6" s="31">
        <f t="shared" si="7"/>
        <v>28644307.050002128</v>
      </c>
      <c r="F6" s="31">
        <f t="shared" si="7"/>
        <v>33617850.564045466</v>
      </c>
      <c r="G6" s="31">
        <f t="shared" si="7"/>
        <v>38299663.311829388</v>
      </c>
      <c r="H6" s="31">
        <f t="shared" si="7"/>
        <v>42984704.901293375</v>
      </c>
    </row>
    <row r="7" spans="1:12" ht="14.25" customHeight="1">
      <c r="A7" s="25"/>
      <c r="B7" s="25"/>
      <c r="C7" s="25"/>
      <c r="D7" s="25"/>
      <c r="E7" s="25"/>
      <c r="F7" s="25"/>
      <c r="G7" s="25"/>
      <c r="H7" s="25"/>
    </row>
    <row r="8" spans="1:12" ht="14.25" customHeight="1">
      <c r="A8" s="25"/>
      <c r="B8" s="25"/>
      <c r="C8" s="25"/>
      <c r="D8" s="25"/>
      <c r="E8" s="25"/>
      <c r="F8" s="25"/>
      <c r="G8" s="25"/>
      <c r="H8" s="25"/>
    </row>
    <row r="9" spans="1:12" ht="14.25" customHeight="1">
      <c r="A9" s="24" t="s">
        <v>54</v>
      </c>
      <c r="B9" s="25"/>
      <c r="C9" s="25"/>
      <c r="D9" s="25"/>
      <c r="E9" s="25"/>
      <c r="F9" s="25"/>
      <c r="G9" s="25"/>
      <c r="H9" s="25"/>
      <c r="I9" s="90" t="s">
        <v>55</v>
      </c>
      <c r="J9" s="91"/>
      <c r="K9" s="92"/>
    </row>
    <row r="10" spans="1:12" ht="14.25" customHeight="1">
      <c r="A10" s="25" t="s">
        <v>5</v>
      </c>
      <c r="B10" s="26">
        <v>8281532</v>
      </c>
      <c r="C10" s="26">
        <v>10051208</v>
      </c>
      <c r="D10" s="26">
        <v>11455396</v>
      </c>
      <c r="E10" s="98">
        <f t="shared" ref="E10:H10" si="8">E11*E12</f>
        <v>11434119.486583754</v>
      </c>
      <c r="F10" s="26">
        <f t="shared" si="8"/>
        <v>12309278.929338679</v>
      </c>
      <c r="G10" s="26">
        <f t="shared" si="8"/>
        <v>13251422.458725005</v>
      </c>
      <c r="H10" s="26">
        <f t="shared" si="8"/>
        <v>14265676.989499792</v>
      </c>
      <c r="I10" s="32">
        <v>2018</v>
      </c>
      <c r="J10" s="32">
        <v>2019</v>
      </c>
      <c r="K10" s="32">
        <v>2020</v>
      </c>
    </row>
    <row r="11" spans="1:12" ht="14.25" customHeight="1">
      <c r="A11" s="25" t="s">
        <v>56</v>
      </c>
      <c r="B11" s="33">
        <f>I11*12</f>
        <v>133.92000000000002</v>
      </c>
      <c r="C11" s="33">
        <f t="shared" ref="B11:D11" si="9">J11*12</f>
        <v>150.84</v>
      </c>
      <c r="D11" s="33">
        <f t="shared" si="9"/>
        <v>159.84</v>
      </c>
      <c r="E11" s="34">
        <f t="shared" ref="E11:H11" si="10">AVERAGE($B$11:$D$11)</f>
        <v>148.20000000000002</v>
      </c>
      <c r="F11" s="34">
        <f t="shared" si="10"/>
        <v>148.20000000000002</v>
      </c>
      <c r="G11" s="34">
        <f t="shared" si="10"/>
        <v>148.20000000000002</v>
      </c>
      <c r="H11" s="34">
        <f t="shared" si="10"/>
        <v>148.20000000000002</v>
      </c>
      <c r="I11" s="35">
        <v>11.16</v>
      </c>
      <c r="J11" s="35">
        <v>12.57</v>
      </c>
      <c r="K11" s="35">
        <v>13.32</v>
      </c>
    </row>
    <row r="12" spans="1:12" ht="14.25" customHeight="1">
      <c r="A12" s="25" t="s">
        <v>57</v>
      </c>
      <c r="B12" s="26">
        <f t="shared" ref="B12:D12" si="11">B10/B11</f>
        <v>61839.396654719225</v>
      </c>
      <c r="C12" s="26">
        <f t="shared" si="11"/>
        <v>66634.897905064965</v>
      </c>
      <c r="D12" s="26">
        <f t="shared" si="11"/>
        <v>71667.892892892894</v>
      </c>
      <c r="E12" s="26">
        <f t="shared" ref="E12:H12" si="12">D12*(1+E13)</f>
        <v>77153.302878432878</v>
      </c>
      <c r="F12" s="26">
        <f t="shared" si="12"/>
        <v>83058.56227623939</v>
      </c>
      <c r="G12" s="26">
        <f t="shared" si="12"/>
        <v>89415.806064271281</v>
      </c>
      <c r="H12" s="26">
        <f t="shared" si="12"/>
        <v>96259.628809040427</v>
      </c>
      <c r="I12" s="25"/>
      <c r="J12" s="25"/>
      <c r="K12" s="25"/>
    </row>
    <row r="13" spans="1:12" ht="14.25" customHeight="1">
      <c r="A13" s="28" t="s">
        <v>52</v>
      </c>
      <c r="B13" s="25"/>
      <c r="C13" s="29">
        <f t="shared" ref="C13:D13" si="13">C12/B12-1</f>
        <v>7.7547672030525483E-2</v>
      </c>
      <c r="D13" s="29">
        <f t="shared" si="13"/>
        <v>7.5530917673175768E-2</v>
      </c>
      <c r="E13" s="36">
        <f t="shared" ref="E13:H13" si="14">AVERAGE($C$13:$D$13)</f>
        <v>7.6539294851850626E-2</v>
      </c>
      <c r="F13" s="36">
        <f t="shared" si="14"/>
        <v>7.6539294851850626E-2</v>
      </c>
      <c r="G13" s="36">
        <f t="shared" si="14"/>
        <v>7.6539294851850626E-2</v>
      </c>
      <c r="H13" s="36">
        <f t="shared" si="14"/>
        <v>7.6539294851850626E-2</v>
      </c>
      <c r="I13" s="25"/>
      <c r="J13" s="25"/>
      <c r="K13" s="25"/>
    </row>
    <row r="14" spans="1:12" ht="14.25" customHeight="1">
      <c r="A14" s="25"/>
      <c r="B14" s="25"/>
      <c r="C14" s="25"/>
      <c r="D14" s="25"/>
      <c r="E14" s="25"/>
      <c r="F14" s="25"/>
      <c r="G14" s="25"/>
      <c r="H14" s="25"/>
      <c r="I14" s="37"/>
      <c r="J14" s="37"/>
      <c r="K14" s="37"/>
    </row>
    <row r="15" spans="1:12" ht="14.25" customHeight="1">
      <c r="A15" s="25"/>
      <c r="B15" s="25"/>
      <c r="C15" s="25"/>
      <c r="D15" s="25"/>
      <c r="E15" s="25"/>
      <c r="F15" s="25"/>
      <c r="G15" s="25"/>
      <c r="H15" s="25"/>
      <c r="I15" s="25"/>
      <c r="J15" s="25"/>
      <c r="K15" s="25"/>
    </row>
    <row r="16" spans="1:12" ht="14.25" customHeight="1">
      <c r="A16" s="24" t="s">
        <v>58</v>
      </c>
      <c r="B16" s="25"/>
      <c r="C16" s="25"/>
      <c r="D16" s="25"/>
      <c r="E16" s="25"/>
      <c r="F16" s="25"/>
      <c r="G16" s="25"/>
      <c r="H16" s="25"/>
      <c r="I16" s="90" t="s">
        <v>55</v>
      </c>
      <c r="J16" s="91"/>
      <c r="K16" s="92"/>
    </row>
    <row r="17" spans="1:11" ht="14.25" customHeight="1">
      <c r="A17" s="25" t="s">
        <v>5</v>
      </c>
      <c r="B17" s="26">
        <v>3963707</v>
      </c>
      <c r="C17" s="26">
        <v>5543067</v>
      </c>
      <c r="D17" s="26">
        <v>7772252</v>
      </c>
      <c r="E17" s="98">
        <f t="shared" ref="E17:H17" si="15">E18*E19</f>
        <v>9981422.5905182417</v>
      </c>
      <c r="F17" s="26">
        <f t="shared" si="15"/>
        <v>12088960.093988623</v>
      </c>
      <c r="G17" s="26">
        <f t="shared" si="15"/>
        <v>13432599.712150544</v>
      </c>
      <c r="H17" s="26">
        <f t="shared" si="15"/>
        <v>14656927.511689028</v>
      </c>
      <c r="I17" s="32">
        <v>2018</v>
      </c>
      <c r="J17" s="32">
        <v>2019</v>
      </c>
      <c r="K17" s="32">
        <v>2020</v>
      </c>
    </row>
    <row r="18" spans="1:11" ht="14.25" customHeight="1">
      <c r="A18" s="25" t="s">
        <v>56</v>
      </c>
      <c r="B18" s="33">
        <f t="shared" ref="B18:D18" si="16">I18*12</f>
        <v>125.39999999999999</v>
      </c>
      <c r="C18" s="33">
        <f t="shared" si="16"/>
        <v>123.96000000000001</v>
      </c>
      <c r="D18" s="33">
        <f t="shared" si="16"/>
        <v>128.64000000000001</v>
      </c>
      <c r="E18" s="38">
        <f>AVERAGE($B$18:$D$18)</f>
        <v>126</v>
      </c>
      <c r="F18" s="38">
        <f t="shared" ref="F18:H18" si="17">AVERAGE($B$18:$D$18)</f>
        <v>126</v>
      </c>
      <c r="G18" s="38">
        <f t="shared" si="17"/>
        <v>126</v>
      </c>
      <c r="H18" s="38">
        <f t="shared" si="17"/>
        <v>126</v>
      </c>
      <c r="I18" s="35">
        <v>10.45</v>
      </c>
      <c r="J18" s="35">
        <v>10.33</v>
      </c>
      <c r="K18" s="35">
        <v>10.72</v>
      </c>
    </row>
    <row r="19" spans="1:11" ht="14.25" customHeight="1">
      <c r="A19" s="25" t="s">
        <v>57</v>
      </c>
      <c r="B19" s="26">
        <f t="shared" ref="B19:D19" si="18">B17/B18</f>
        <v>31608.508771929828</v>
      </c>
      <c r="C19" s="26">
        <f t="shared" si="18"/>
        <v>44716.577928363986</v>
      </c>
      <c r="D19" s="26">
        <f t="shared" si="18"/>
        <v>60418.62562189054</v>
      </c>
      <c r="E19" s="26">
        <f t="shared" ref="E19:H19" si="19">D19*(1+E20)</f>
        <v>79217.639607287638</v>
      </c>
      <c r="F19" s="26">
        <f t="shared" si="19"/>
        <v>95944.127730068445</v>
      </c>
      <c r="G19" s="26">
        <f t="shared" si="19"/>
        <v>106607.93422341702</v>
      </c>
      <c r="H19" s="26">
        <f t="shared" si="19"/>
        <v>116324.8215213415</v>
      </c>
      <c r="I19" s="25"/>
      <c r="J19" s="25"/>
      <c r="K19" s="25"/>
    </row>
    <row r="20" spans="1:11" ht="14.25" customHeight="1">
      <c r="A20" s="28" t="s">
        <v>52</v>
      </c>
      <c r="B20" s="25"/>
      <c r="C20" s="29">
        <f t="shared" ref="C20:D20" si="20">C19/B19-1</f>
        <v>0.41470065073347828</v>
      </c>
      <c r="D20" s="29">
        <f t="shared" si="20"/>
        <v>0.35114600492643366</v>
      </c>
      <c r="E20" s="39">
        <f>D20-4%</f>
        <v>0.31114600492643368</v>
      </c>
      <c r="F20" s="39">
        <f>E20-10%</f>
        <v>0.21114600492643368</v>
      </c>
      <c r="G20" s="39">
        <f>F20-10%</f>
        <v>0.11114600492643367</v>
      </c>
      <c r="H20" s="39">
        <f>G20-2%</f>
        <v>9.1146004926433669E-2</v>
      </c>
      <c r="I20" s="25"/>
      <c r="J20" s="25"/>
      <c r="K20" s="25"/>
    </row>
    <row r="21" spans="1:11" ht="14.25" customHeight="1">
      <c r="A21" s="25"/>
      <c r="B21" s="25"/>
      <c r="C21" s="25"/>
      <c r="D21" s="25"/>
      <c r="E21" s="25"/>
      <c r="F21" s="25"/>
      <c r="G21" s="25"/>
      <c r="H21" s="25"/>
      <c r="I21" s="25"/>
      <c r="J21" s="25"/>
      <c r="K21" s="25"/>
    </row>
    <row r="22" spans="1:11" ht="14.25" customHeight="1">
      <c r="A22" s="25"/>
      <c r="B22" s="25"/>
      <c r="C22" s="25"/>
      <c r="D22" s="25"/>
      <c r="E22" s="25"/>
      <c r="F22" s="25"/>
      <c r="G22" s="25"/>
      <c r="H22" s="25"/>
      <c r="I22" s="40"/>
      <c r="J22" s="41"/>
      <c r="K22" s="41"/>
    </row>
    <row r="23" spans="1:11" ht="14.25" customHeight="1">
      <c r="A23" s="24" t="s">
        <v>59</v>
      </c>
      <c r="B23" s="25"/>
      <c r="C23" s="25"/>
      <c r="D23" s="25"/>
      <c r="E23" s="25"/>
      <c r="F23" s="25"/>
      <c r="G23" s="25"/>
      <c r="H23" s="25"/>
      <c r="I23" s="90" t="s">
        <v>55</v>
      </c>
      <c r="J23" s="91"/>
      <c r="K23" s="92"/>
    </row>
    <row r="24" spans="1:11" ht="14.25" customHeight="1">
      <c r="A24" s="25" t="s">
        <v>5</v>
      </c>
      <c r="B24" s="27">
        <v>2237697</v>
      </c>
      <c r="C24" s="26">
        <v>2795434</v>
      </c>
      <c r="D24" s="26">
        <v>3156727</v>
      </c>
      <c r="E24" s="98">
        <f t="shared" ref="E24:H24" si="21">E25*E26</f>
        <v>3842573.7972810525</v>
      </c>
      <c r="F24" s="26">
        <f t="shared" si="21"/>
        <v>4429558.4850562159</v>
      </c>
      <c r="G24" s="26">
        <f t="shared" si="21"/>
        <v>4995470.9397932496</v>
      </c>
      <c r="H24" s="26">
        <f t="shared" si="21"/>
        <v>5508796.582195675</v>
      </c>
      <c r="I24" s="32">
        <v>2018</v>
      </c>
      <c r="J24" s="32">
        <v>2019</v>
      </c>
      <c r="K24" s="32">
        <v>2020</v>
      </c>
    </row>
    <row r="25" spans="1:11" ht="14.25" customHeight="1">
      <c r="A25" s="25" t="s">
        <v>56</v>
      </c>
      <c r="B25" s="33">
        <f t="shared" ref="B25:D25" si="22">I25*12</f>
        <v>111.96000000000001</v>
      </c>
      <c r="C25" s="33">
        <f t="shared" si="22"/>
        <v>110.88</v>
      </c>
      <c r="D25" s="33">
        <f t="shared" si="22"/>
        <v>109.44</v>
      </c>
      <c r="E25" s="38">
        <f>AVERAGE($B$25:$D$25)</f>
        <v>110.75999999999999</v>
      </c>
      <c r="F25" s="38">
        <f t="shared" ref="F25:H25" si="23">AVERAGE($B$25:$D$25)</f>
        <v>110.75999999999999</v>
      </c>
      <c r="G25" s="38">
        <f t="shared" si="23"/>
        <v>110.75999999999999</v>
      </c>
      <c r="H25" s="38">
        <f t="shared" si="23"/>
        <v>110.75999999999999</v>
      </c>
      <c r="I25" s="35">
        <v>9.33</v>
      </c>
      <c r="J25" s="35">
        <v>9.24</v>
      </c>
      <c r="K25" s="35">
        <v>9.1199999999999992</v>
      </c>
    </row>
    <row r="26" spans="1:11" ht="14.25" customHeight="1">
      <c r="A26" s="25" t="s">
        <v>57</v>
      </c>
      <c r="B26" s="26">
        <f t="shared" ref="B26:D26" si="24">B24/B25</f>
        <v>19986.575562700964</v>
      </c>
      <c r="C26" s="26">
        <f t="shared" si="24"/>
        <v>25211.345598845601</v>
      </c>
      <c r="D26" s="26">
        <f t="shared" si="24"/>
        <v>28844.362207602338</v>
      </c>
      <c r="E26" s="26">
        <f t="shared" ref="E26" si="25">D26*(1+E27)</f>
        <v>34692.793402681949</v>
      </c>
      <c r="F26" s="26">
        <f t="shared" ref="F26" si="26">E26*(1+F27)</f>
        <v>39992.40235695392</v>
      </c>
      <c r="G26" s="26">
        <f t="shared" ref="G26" si="27">F26*(1+G27)</f>
        <v>45101.760019801826</v>
      </c>
      <c r="H26" s="26">
        <f t="shared" ref="H26" si="28">G26*(1+H27)</f>
        <v>49736.336061716102</v>
      </c>
      <c r="I26" s="25"/>
      <c r="J26" s="25"/>
      <c r="K26" s="25"/>
    </row>
    <row r="27" spans="1:11" ht="14.25" customHeight="1">
      <c r="A27" s="28" t="s">
        <v>52</v>
      </c>
      <c r="B27" s="25"/>
      <c r="C27" s="29">
        <f t="shared" ref="C27:D27" si="29">C26/B26-1</f>
        <v>0.26141396857874577</v>
      </c>
      <c r="D27" s="29">
        <f t="shared" si="29"/>
        <v>0.14410244762671809</v>
      </c>
      <c r="E27" s="39">
        <f>AVERAGE(C27:D27)</f>
        <v>0.20275820810273193</v>
      </c>
      <c r="F27" s="42">
        <f>E27-5%</f>
        <v>0.15275820810273194</v>
      </c>
      <c r="G27" s="42">
        <f>F27-2.5%</f>
        <v>0.12775820810273195</v>
      </c>
      <c r="H27" s="42">
        <f>G27-2.5%</f>
        <v>0.10275820810273195</v>
      </c>
      <c r="I27" s="25"/>
      <c r="J27" s="25"/>
      <c r="K27" s="25"/>
    </row>
    <row r="28" spans="1:11" ht="14.25" customHeight="1">
      <c r="A28" s="25"/>
      <c r="B28" s="25"/>
      <c r="C28" s="25"/>
      <c r="D28" s="25"/>
      <c r="E28" s="25"/>
      <c r="F28" s="25"/>
      <c r="G28" s="25"/>
      <c r="H28" s="25"/>
      <c r="I28" s="25"/>
      <c r="J28" s="25"/>
      <c r="K28" s="25"/>
    </row>
    <row r="29" spans="1:11" ht="14.25" customHeight="1">
      <c r="A29" s="25"/>
      <c r="B29" s="25"/>
      <c r="C29" s="25"/>
      <c r="D29" s="25"/>
      <c r="E29" s="25"/>
      <c r="F29" s="25"/>
      <c r="G29" s="25"/>
      <c r="H29" s="25"/>
      <c r="I29" s="25"/>
      <c r="J29" s="25"/>
      <c r="K29" s="25"/>
    </row>
    <row r="30" spans="1:11" ht="14.25" customHeight="1">
      <c r="A30" s="24" t="s">
        <v>60</v>
      </c>
      <c r="B30" s="25"/>
      <c r="C30" s="25"/>
      <c r="D30" s="25"/>
      <c r="E30" s="25"/>
      <c r="F30" s="25"/>
      <c r="G30" s="25"/>
      <c r="H30" s="25"/>
      <c r="I30" s="90" t="s">
        <v>55</v>
      </c>
      <c r="J30" s="91"/>
      <c r="K30" s="92"/>
    </row>
    <row r="31" spans="1:11" ht="14.25" customHeight="1">
      <c r="A31" s="25" t="s">
        <v>5</v>
      </c>
      <c r="B31" s="27">
        <v>945816</v>
      </c>
      <c r="C31" s="26">
        <v>1469521</v>
      </c>
      <c r="D31" s="26">
        <v>2372300</v>
      </c>
      <c r="E31" s="98">
        <f t="shared" ref="E31:H31" si="30">E32*E33</f>
        <v>3192485.3374921991</v>
      </c>
      <c r="F31" s="26">
        <f t="shared" si="30"/>
        <v>4633674.0539286928</v>
      </c>
      <c r="G31" s="26">
        <f t="shared" si="30"/>
        <v>6493777.1744138356</v>
      </c>
      <c r="H31" s="26">
        <f t="shared" si="30"/>
        <v>8451206.7216355838</v>
      </c>
      <c r="I31" s="32">
        <v>2018</v>
      </c>
      <c r="J31" s="32">
        <v>2019</v>
      </c>
      <c r="K31" s="32">
        <v>2020</v>
      </c>
    </row>
    <row r="32" spans="1:11" ht="14.25" customHeight="1">
      <c r="A32" s="25" t="s">
        <v>56</v>
      </c>
      <c r="B32" s="33">
        <f t="shared" ref="B32:D32" si="31">I32*12</f>
        <v>133.92000000000002</v>
      </c>
      <c r="C32" s="33">
        <f t="shared" si="31"/>
        <v>150.84</v>
      </c>
      <c r="D32" s="33">
        <f t="shared" si="31"/>
        <v>159.84</v>
      </c>
      <c r="E32" s="38">
        <f>AVERAGE($B$32:$D$32)</f>
        <v>148.20000000000002</v>
      </c>
      <c r="F32" s="38">
        <f t="shared" ref="F32:H32" si="32">AVERAGE($B$32:$D$32)</f>
        <v>148.20000000000002</v>
      </c>
      <c r="G32" s="38">
        <f t="shared" si="32"/>
        <v>148.20000000000002</v>
      </c>
      <c r="H32" s="38">
        <f t="shared" si="32"/>
        <v>148.20000000000002</v>
      </c>
      <c r="I32" s="35">
        <v>11.16</v>
      </c>
      <c r="J32" s="35">
        <v>12.57</v>
      </c>
      <c r="K32" s="35">
        <v>13.32</v>
      </c>
    </row>
    <row r="33" spans="1:8" ht="14.25" customHeight="1">
      <c r="A33" s="25" t="s">
        <v>57</v>
      </c>
      <c r="B33" s="26">
        <f t="shared" ref="B33:D33" si="33">B31/B32</f>
        <v>7062.5448028673827</v>
      </c>
      <c r="C33" s="26">
        <f t="shared" si="33"/>
        <v>9742.2500662954117</v>
      </c>
      <c r="D33" s="26">
        <f t="shared" si="33"/>
        <v>14841.716716716717</v>
      </c>
      <c r="E33" s="26">
        <f t="shared" ref="E33" si="34">D33*(1+E34)</f>
        <v>21541.736420325229</v>
      </c>
      <c r="F33" s="26">
        <f t="shared" ref="F33" si="35">E33*(1+F34)</f>
        <v>31266.356639194953</v>
      </c>
      <c r="G33" s="26">
        <f t="shared" ref="G33" si="36">F33*(1+G34)</f>
        <v>43817.659746382153</v>
      </c>
      <c r="H33" s="26">
        <f t="shared" ref="H33" si="37">G33*(1+H34)</f>
        <v>57025.686380806896</v>
      </c>
    </row>
    <row r="34" spans="1:8" ht="14.25" customHeight="1">
      <c r="A34" s="28" t="s">
        <v>52</v>
      </c>
      <c r="B34" s="25"/>
      <c r="C34" s="29">
        <f t="shared" ref="C34:D34" si="38">C33/B33-1</f>
        <v>0.37942488695293974</v>
      </c>
      <c r="D34" s="29">
        <f t="shared" si="38"/>
        <v>0.52343828332466824</v>
      </c>
      <c r="E34" s="39">
        <f>AVERAGE(C34:D34)</f>
        <v>0.45143158513880399</v>
      </c>
      <c r="F34" s="39">
        <f>E34</f>
        <v>0.45143158513880399</v>
      </c>
      <c r="G34" s="39">
        <f>F34-5%</f>
        <v>0.401431585138804</v>
      </c>
      <c r="H34" s="39">
        <f>G34-10%</f>
        <v>0.30143158513880397</v>
      </c>
    </row>
    <row r="35" spans="1:8" ht="14.25" customHeight="1"/>
    <row r="36" spans="1:8" ht="14.25" customHeight="1"/>
    <row r="37" spans="1:8" ht="14.25" customHeight="1"/>
    <row r="38" spans="1:8" ht="14.25" customHeight="1"/>
    <row r="39" spans="1:8" ht="14.25" customHeight="1"/>
    <row r="40" spans="1:8" ht="14.25" customHeight="1"/>
    <row r="41" spans="1:8" ht="14.25" customHeight="1"/>
    <row r="42" spans="1:8" ht="14.25" customHeight="1"/>
    <row r="43" spans="1:8" ht="14.25" customHeight="1"/>
    <row r="44" spans="1:8" ht="14.25" customHeight="1"/>
    <row r="45" spans="1:8" ht="14.25" customHeight="1"/>
    <row r="46" spans="1:8" ht="14.25" customHeight="1"/>
    <row r="47" spans="1:8" ht="14.25" customHeight="1"/>
    <row r="48" spans="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4">
    <mergeCell ref="I9:K9"/>
    <mergeCell ref="I16:K16"/>
    <mergeCell ref="I23:K23"/>
    <mergeCell ref="I30:K30"/>
  </mergeCells>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
  <sheetViews>
    <sheetView zoomScale="80" zoomScaleNormal="80" workbookViewId="0">
      <selection activeCell="H5" sqref="H5"/>
    </sheetView>
  </sheetViews>
  <sheetFormatPr defaultColWidth="14.453125" defaultRowHeight="15" customHeight="1"/>
  <cols>
    <col min="1" max="1" width="33.26953125" customWidth="1"/>
    <col min="2" max="2" width="14" customWidth="1"/>
    <col min="3" max="4" width="15" customWidth="1"/>
    <col min="5" max="8" width="14" customWidth="1"/>
    <col min="9" max="11" width="8.7265625" customWidth="1"/>
  </cols>
  <sheetData>
    <row r="1" spans="1:9" ht="25">
      <c r="A1" s="88" t="s">
        <v>23</v>
      </c>
      <c r="B1" s="89"/>
      <c r="C1" s="89"/>
      <c r="D1" s="89"/>
      <c r="E1" s="89"/>
      <c r="F1" s="89"/>
      <c r="G1" s="89"/>
      <c r="H1" s="89"/>
    </row>
    <row r="2" spans="1:9" ht="14.25" customHeight="1">
      <c r="A2" s="24"/>
    </row>
    <row r="3" spans="1:9" ht="14.25" customHeight="1">
      <c r="A3" s="2" t="s">
        <v>1</v>
      </c>
      <c r="B3" s="3" t="s">
        <v>2</v>
      </c>
      <c r="C3" s="3" t="s">
        <v>3</v>
      </c>
      <c r="D3" s="3" t="s">
        <v>4</v>
      </c>
      <c r="E3" s="43" t="s">
        <v>61</v>
      </c>
      <c r="F3" s="43" t="s">
        <v>62</v>
      </c>
      <c r="G3" s="43" t="s">
        <v>63</v>
      </c>
      <c r="H3" s="43" t="s">
        <v>64</v>
      </c>
    </row>
    <row r="4" spans="1:9" ht="14.25" customHeight="1">
      <c r="A4" t="s">
        <v>65</v>
      </c>
      <c r="B4" s="44">
        <f>'P&amp;L Input'!B4-Schedules!B6</f>
        <v>9884381</v>
      </c>
      <c r="C4" s="44">
        <f>'P&amp;L Input'!C4-Schedules!C6</f>
        <v>12336634</v>
      </c>
      <c r="D4" s="44">
        <f>'P&amp;L Input'!D4-Schedules!D6</f>
        <v>15160609</v>
      </c>
      <c r="E4" s="44">
        <f>('Revenue Modelling'!E6*'Other Items'!E5)</f>
        <v>17610348.123559561</v>
      </c>
      <c r="F4" s="44">
        <f>('Revenue Modelling'!F6*'Other Items'!F5)</f>
        <v>20668052.837347303</v>
      </c>
      <c r="G4" s="44">
        <f>('Revenue Modelling'!G6*'Other Items'!G5)</f>
        <v>23546403.226269968</v>
      </c>
      <c r="H4" s="44">
        <f>('Revenue Modelling'!H6*'Other Items'!H5)</f>
        <v>26426738.687686183</v>
      </c>
      <c r="I4" t="s">
        <v>147</v>
      </c>
    </row>
    <row r="5" spans="1:9" ht="14.25" customHeight="1">
      <c r="A5" s="45" t="s">
        <v>66</v>
      </c>
      <c r="B5" s="46">
        <f>B4/'P&amp;L Input'!B3</f>
        <v>0.6258178799609303</v>
      </c>
      <c r="C5" s="46">
        <f>C4/'P&amp;L Input'!C3</f>
        <v>0.61204407701416819</v>
      </c>
      <c r="D5" s="46">
        <f>D4/'P&amp;L Input'!D3</f>
        <v>0.60652004460223641</v>
      </c>
      <c r="E5" s="47">
        <f>AVERAGE($B5:$D5)</f>
        <v>0.61479400052577826</v>
      </c>
      <c r="F5" s="47">
        <f t="shared" ref="F5:H5" si="0">AVERAGE($B5:$D5)</f>
        <v>0.61479400052577826</v>
      </c>
      <c r="G5" s="47">
        <f t="shared" si="0"/>
        <v>0.61479400052577826</v>
      </c>
      <c r="H5" s="47">
        <f t="shared" si="0"/>
        <v>0.61479400052577826</v>
      </c>
    </row>
    <row r="6" spans="1:9" ht="14.25" customHeight="1"/>
    <row r="7" spans="1:9" ht="14.25" customHeight="1">
      <c r="A7" t="s">
        <v>7</v>
      </c>
      <c r="B7" s="44">
        <f>'P&amp;L Input'!B5</f>
        <v>2369469</v>
      </c>
      <c r="C7" s="44">
        <f>'P&amp;L Input'!C5</f>
        <v>2652462</v>
      </c>
      <c r="D7" s="44">
        <f>'P&amp;L Input'!D5</f>
        <v>2228362</v>
      </c>
      <c r="E7" s="48">
        <f>'Revenue Modelling'!E$6*'Other Items'!E8</f>
        <v>3540077.3062013234</v>
      </c>
      <c r="F7" s="48">
        <f>'Revenue Modelling'!F$6*'Other Items'!F8</f>
        <v>4154744.9431155245</v>
      </c>
      <c r="G7" s="48">
        <f>'Revenue Modelling'!G$6*'Other Items'!G8</f>
        <v>4733358.3140510488</v>
      </c>
      <c r="H7" s="48">
        <f>'Revenue Modelling'!H$6*'Other Items'!H8</f>
        <v>5312370.7293459615</v>
      </c>
    </row>
    <row r="8" spans="1:9" ht="14.25" customHeight="1">
      <c r="A8" s="45" t="s">
        <v>66</v>
      </c>
      <c r="B8" s="46">
        <f>B7/'P&amp;L Input'!B3</f>
        <v>0.15002012429641731</v>
      </c>
      <c r="C8" s="46">
        <f>C7/'P&amp;L Input'!C3</f>
        <v>0.13159372780331771</v>
      </c>
      <c r="D8" s="46">
        <f>D7/'P&amp;L Input'!D3</f>
        <v>8.9148544074313163E-2</v>
      </c>
      <c r="E8" s="47">
        <f>AVERAGE($B8:$D8)</f>
        <v>0.12358746539134939</v>
      </c>
      <c r="F8" s="47">
        <f t="shared" ref="F8:H8" si="1">AVERAGE($B8:$D8)</f>
        <v>0.12358746539134939</v>
      </c>
      <c r="G8" s="47">
        <f t="shared" si="1"/>
        <v>0.12358746539134939</v>
      </c>
      <c r="H8" s="47">
        <f t="shared" si="1"/>
        <v>0.12358746539134939</v>
      </c>
    </row>
    <row r="9" spans="1:9" ht="14.25" customHeight="1"/>
    <row r="10" spans="1:9" ht="14.25" customHeight="1">
      <c r="A10" t="s">
        <v>67</v>
      </c>
      <c r="B10" s="44">
        <f>'P&amp;L Input'!B6</f>
        <v>1221814</v>
      </c>
      <c r="C10" s="44">
        <f>'P&amp;L Input'!C6</f>
        <v>1545149</v>
      </c>
      <c r="D10" s="44">
        <f>'P&amp;L Input'!D6</f>
        <v>1829600</v>
      </c>
      <c r="E10" s="48">
        <f>'Revenue Modelling'!E$6*'Other Items'!E11</f>
        <v>2169434.4552735938</v>
      </c>
      <c r="F10" s="48">
        <f>'Revenue Modelling'!F$6*'Other Items'!F11</f>
        <v>2546115.819753218</v>
      </c>
      <c r="G10" s="48">
        <f>'Revenue Modelling'!G$6*'Other Items'!G11</f>
        <v>2900702.3653607448</v>
      </c>
      <c r="H10" s="48">
        <f>'Revenue Modelling'!H$6*'Other Items'!H11</f>
        <v>3255533.4538150975</v>
      </c>
    </row>
    <row r="11" spans="1:9" ht="14.25" customHeight="1">
      <c r="A11" s="45" t="s">
        <v>66</v>
      </c>
      <c r="B11" s="46">
        <f>B10/'P&amp;L Input'!B3</f>
        <v>7.7357706788779595E-2</v>
      </c>
      <c r="C11" s="46">
        <f>C10/'P&amp;L Input'!C3</f>
        <v>7.6657805812701013E-2</v>
      </c>
      <c r="D11" s="46">
        <f>D10/'P&amp;L Input'!D3</f>
        <v>7.3195547329546709E-2</v>
      </c>
      <c r="E11" s="47">
        <f>AVERAGE($B11:$D11)</f>
        <v>7.5737019977009101E-2</v>
      </c>
      <c r="F11" s="47">
        <f t="shared" ref="F11:H11" si="2">AVERAGE($B11:$D11)</f>
        <v>7.5737019977009101E-2</v>
      </c>
      <c r="G11" s="47">
        <f t="shared" si="2"/>
        <v>7.5737019977009101E-2</v>
      </c>
      <c r="H11" s="47">
        <f t="shared" si="2"/>
        <v>7.5737019977009101E-2</v>
      </c>
    </row>
    <row r="12" spans="1:9" ht="14.25" customHeight="1"/>
    <row r="13" spans="1:9" ht="14.25" customHeight="1">
      <c r="A13" t="s">
        <v>68</v>
      </c>
      <c r="B13" s="44">
        <f>'P&amp;L Input'!B7</f>
        <v>630294</v>
      </c>
      <c r="C13" s="44">
        <f>'P&amp;L Input'!C7</f>
        <v>914369</v>
      </c>
      <c r="D13" s="44">
        <f>'P&amp;L Input'!D7</f>
        <v>1076486</v>
      </c>
      <c r="E13" s="48">
        <f>'Revenue Modelling'!E$6*'Other Items'!E14</f>
        <v>1225366.7194431941</v>
      </c>
      <c r="F13" s="48">
        <f>'Revenue Modelling'!F$6*'Other Items'!F14</f>
        <v>1438128.5324335631</v>
      </c>
      <c r="G13" s="48">
        <f>'Revenue Modelling'!G$6*'Other Items'!G14</f>
        <v>1638410.4773863521</v>
      </c>
      <c r="H13" s="48">
        <f>'Revenue Modelling'!H$6*'Other Items'!H14</f>
        <v>1838830.5480452438</v>
      </c>
    </row>
    <row r="14" spans="1:9" ht="14.25" customHeight="1">
      <c r="A14" s="45" t="s">
        <v>66</v>
      </c>
      <c r="B14" s="46">
        <f>B13/'P&amp;L Input'!B3</f>
        <v>3.9906318345285824E-2</v>
      </c>
      <c r="C14" s="46">
        <f>C13/'P&amp;L Input'!C3</f>
        <v>4.5363600043202057E-2</v>
      </c>
      <c r="D14" s="46">
        <f>D13/'P&amp;L Input'!D3</f>
        <v>4.3066234129096208E-2</v>
      </c>
      <c r="E14" s="47">
        <f>AVERAGE($B14:$D14)</f>
        <v>4.2778717505861368E-2</v>
      </c>
      <c r="F14" s="47">
        <f t="shared" ref="F14:H14" si="3">AVERAGE($B14:$D14)</f>
        <v>4.2778717505861368E-2</v>
      </c>
      <c r="G14" s="47">
        <f t="shared" si="3"/>
        <v>4.2778717505861368E-2</v>
      </c>
      <c r="H14" s="47">
        <f t="shared" si="3"/>
        <v>4.2778717505861368E-2</v>
      </c>
    </row>
    <row r="15" spans="1:9" ht="14.25" customHeight="1"/>
    <row r="16" spans="1:9" ht="14.25" customHeight="1">
      <c r="A16" t="s">
        <v>69</v>
      </c>
      <c r="B16" s="49">
        <f>'Balance Sheet Input'!B7</f>
        <v>5899652</v>
      </c>
      <c r="C16" s="49">
        <f>'Balance Sheet Input'!C7</f>
        <v>1160067</v>
      </c>
      <c r="D16" s="49">
        <f>'Balance Sheet Input'!D7</f>
        <v>1556030</v>
      </c>
      <c r="E16" s="48">
        <f>'Revenue Modelling'!E$6*'Other Items'!E17</f>
        <v>1783137.351709198</v>
      </c>
      <c r="F16" s="48">
        <f>'Revenue Modelling'!F$6*'Other Items'!F17</f>
        <v>2092745.512058849</v>
      </c>
      <c r="G16" s="48">
        <f>'Revenue Modelling'!G$6*'Other Items'!G17</f>
        <v>2384193.1344331233</v>
      </c>
      <c r="H16" s="48">
        <f>'Revenue Modelling'!H$6*'Other Items'!H17</f>
        <v>2675841.7554977285</v>
      </c>
    </row>
    <row r="17" spans="1:13" ht="14.25" customHeight="1">
      <c r="A17" s="45" t="s">
        <v>66</v>
      </c>
      <c r="B17" s="46">
        <f>B16/'P&amp;L Input'!B3</f>
        <v>0.3735294812236864</v>
      </c>
      <c r="C17" s="46">
        <f>C16/'P&amp;L Input'!C3</f>
        <v>5.7553149123950265E-2</v>
      </c>
      <c r="D17" s="46">
        <f>D16/'P&amp;L Input'!D3</f>
        <v>6.2251020721028949E-2</v>
      </c>
      <c r="E17" s="47">
        <f>$D$17</f>
        <v>6.2251020721028949E-2</v>
      </c>
      <c r="F17" s="47">
        <f t="shared" ref="F17:H17" si="4">$D$17</f>
        <v>6.2251020721028949E-2</v>
      </c>
      <c r="G17" s="47">
        <f t="shared" si="4"/>
        <v>6.2251020721028949E-2</v>
      </c>
      <c r="H17" s="47">
        <f t="shared" si="4"/>
        <v>6.2251020721028949E-2</v>
      </c>
      <c r="I17" t="s">
        <v>142</v>
      </c>
    </row>
    <row r="18" spans="1:13" ht="14.25" customHeight="1"/>
    <row r="19" spans="1:13" ht="14.25" customHeight="1">
      <c r="A19" t="s">
        <v>70</v>
      </c>
      <c r="B19" s="49">
        <f>'Balance Sheet Input'!B17</f>
        <v>562985</v>
      </c>
      <c r="C19" s="49">
        <f>'Balance Sheet Input'!C17</f>
        <v>674347</v>
      </c>
      <c r="D19" s="49">
        <f>'Balance Sheet Input'!D17</f>
        <v>656183</v>
      </c>
      <c r="E19" s="49">
        <f>(E4/365)*E20</f>
        <v>762212.8545602411</v>
      </c>
      <c r="F19" s="49">
        <f t="shared" ref="F19:H19" si="5">(F4/365)*F20</f>
        <v>894556.73680187017</v>
      </c>
      <c r="G19" s="49">
        <f t="shared" si="5"/>
        <v>1019137.787157726</v>
      </c>
      <c r="H19" s="49">
        <f t="shared" si="5"/>
        <v>1143804.755620436</v>
      </c>
    </row>
    <row r="20" spans="1:13" ht="14.25" customHeight="1">
      <c r="A20" t="s">
        <v>71</v>
      </c>
      <c r="B20" s="48">
        <f>(B19/B4)*365</f>
        <v>20.789316498423119</v>
      </c>
      <c r="C20" s="48">
        <f t="shared" ref="C20:D20" si="6">(C19/C4)*365</f>
        <v>19.951686578364892</v>
      </c>
      <c r="D20" s="48">
        <f t="shared" si="6"/>
        <v>15.797966625219342</v>
      </c>
      <c r="E20" s="50">
        <f>$D$20</f>
        <v>15.797966625219342</v>
      </c>
      <c r="F20" s="50">
        <f t="shared" ref="F20:H20" si="7">$D$20</f>
        <v>15.797966625219342</v>
      </c>
      <c r="G20" s="50">
        <f t="shared" si="7"/>
        <v>15.797966625219342</v>
      </c>
      <c r="H20" s="50">
        <f t="shared" si="7"/>
        <v>15.797966625219342</v>
      </c>
      <c r="I20" t="s">
        <v>143</v>
      </c>
      <c r="M20" t="s">
        <v>144</v>
      </c>
    </row>
    <row r="21" spans="1:13" ht="14.25" customHeight="1"/>
    <row r="22" spans="1:13" ht="14.25" customHeight="1">
      <c r="A22" t="s">
        <v>72</v>
      </c>
      <c r="B22" s="49">
        <f>'Balance Sheet Input'!B18</f>
        <v>481874</v>
      </c>
      <c r="C22" s="49">
        <f>'Balance Sheet Input'!C18</f>
        <v>843043</v>
      </c>
      <c r="D22" s="49">
        <f>'Balance Sheet Input'!D18</f>
        <v>1102196</v>
      </c>
      <c r="E22" s="48">
        <f>'Revenue Modelling'!E$6*'Other Items'!E23</f>
        <v>1111676.5673939134</v>
      </c>
      <c r="F22" s="48">
        <f>'Revenue Modelling'!F$6*'Other Items'!F23</f>
        <v>1304698.2303660517</v>
      </c>
      <c r="G22" s="48">
        <f>'Revenue Modelling'!G$6*'Other Items'!G23</f>
        <v>1486397.9138512246</v>
      </c>
      <c r="H22" s="48">
        <f>'Revenue Modelling'!H$6*'Other Items'!H23</f>
        <v>1668222.9076687191</v>
      </c>
    </row>
    <row r="23" spans="1:13" ht="14.25" customHeight="1">
      <c r="A23" s="45" t="s">
        <v>66</v>
      </c>
      <c r="B23" s="46">
        <f>B22/'P&amp;L Input'!B3</f>
        <v>3.0509281773769478E-2</v>
      </c>
      <c r="C23" s="46">
        <f>C22/'P&amp;L Input'!C3</f>
        <v>4.182498036484307E-2</v>
      </c>
      <c r="D23" s="46">
        <f>D22/'P&amp;L Input'!D3</f>
        <v>4.4094796395079287E-2</v>
      </c>
      <c r="E23" s="47">
        <f>AVERAGE($B23:$D23)</f>
        <v>3.8809686177897283E-2</v>
      </c>
      <c r="F23" s="47">
        <f t="shared" ref="F23:H23" si="8">AVERAGE($B23:$D23)</f>
        <v>3.8809686177897283E-2</v>
      </c>
      <c r="G23" s="47">
        <f t="shared" si="8"/>
        <v>3.8809686177897283E-2</v>
      </c>
      <c r="H23" s="47">
        <f t="shared" si="8"/>
        <v>3.8809686177897283E-2</v>
      </c>
    </row>
    <row r="24" spans="1:13" ht="14.25" customHeight="1"/>
    <row r="25" spans="1:13" ht="14.25" customHeight="1">
      <c r="A25" t="s">
        <v>73</v>
      </c>
      <c r="B25" s="49">
        <f>'Balance Sheet Input'!B19</f>
        <v>760899</v>
      </c>
      <c r="C25" s="49">
        <f>'Balance Sheet Input'!C19</f>
        <v>924745</v>
      </c>
      <c r="D25" s="49">
        <f>'Balance Sheet Input'!D19</f>
        <v>1117992</v>
      </c>
      <c r="E25" s="48">
        <f>'Revenue Modelling'!E$6*'Other Items'!E26</f>
        <v>1325090.692034519</v>
      </c>
      <c r="F25" s="48">
        <f>'Revenue Modelling'!F$6*'Other Items'!F26</f>
        <v>1555167.6914670116</v>
      </c>
      <c r="G25" s="48">
        <f>'Revenue Modelling'!G$6*'Other Items'!G26</f>
        <v>1771749.1742414942</v>
      </c>
      <c r="H25" s="48">
        <f>'Revenue Modelling'!H$6*'Other Items'!H26</f>
        <v>1988480.023801106</v>
      </c>
    </row>
    <row r="26" spans="1:13" ht="14.25" customHeight="1">
      <c r="A26" s="45" t="s">
        <v>66</v>
      </c>
      <c r="B26" s="46">
        <f>B25/'P&amp;L Input'!B3</f>
        <v>4.8175419284666579E-2</v>
      </c>
      <c r="C26" s="46">
        <f>C25/'P&amp;L Input'!C3</f>
        <v>4.5878373306565391E-2</v>
      </c>
      <c r="D26" s="46">
        <f>D25/'P&amp;L Input'!D3</f>
        <v>4.472673608988554E-2</v>
      </c>
      <c r="E26" s="47">
        <f>AVERAGE($B26:$D26)</f>
        <v>4.6260176227039172E-2</v>
      </c>
      <c r="F26" s="47">
        <f t="shared" ref="F26:H26" si="9">AVERAGE($B26:$D26)</f>
        <v>4.6260176227039172E-2</v>
      </c>
      <c r="G26" s="47">
        <f t="shared" si="9"/>
        <v>4.6260176227039172E-2</v>
      </c>
      <c r="H26" s="47">
        <f t="shared" si="9"/>
        <v>4.6260176227039172E-2</v>
      </c>
    </row>
    <row r="27" spans="1:13" ht="14.25" customHeight="1"/>
    <row r="28" spans="1:13" ht="14.25" customHeight="1"/>
    <row r="29" spans="1:13" ht="14.25" customHeight="1"/>
    <row r="30" spans="1:13" ht="14.25" customHeight="1"/>
    <row r="31" spans="1:13" ht="14.25" customHeight="1"/>
    <row r="32" spans="1: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1">
    <mergeCell ref="A1:H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00"/>
  <sheetViews>
    <sheetView topLeftCell="A9" zoomScale="80" zoomScaleNormal="80" workbookViewId="0">
      <selection activeCell="H25" sqref="H25"/>
    </sheetView>
  </sheetViews>
  <sheetFormatPr defaultColWidth="14.453125" defaultRowHeight="15" customHeight="1"/>
  <cols>
    <col min="1" max="1" width="31.26953125" customWidth="1"/>
    <col min="2" max="2" width="17.26953125" customWidth="1"/>
    <col min="3" max="4" width="12.7265625" customWidth="1"/>
    <col min="5" max="8" width="12" customWidth="1"/>
    <col min="9" max="26" width="8.7265625" customWidth="1"/>
  </cols>
  <sheetData>
    <row r="1" spans="1:23" ht="26">
      <c r="A1" s="93" t="s">
        <v>74</v>
      </c>
      <c r="B1" s="89"/>
      <c r="C1" s="89"/>
      <c r="D1" s="89"/>
      <c r="E1" s="89"/>
      <c r="F1" s="89"/>
      <c r="G1" s="89"/>
      <c r="H1" s="89"/>
    </row>
    <row r="2" spans="1:23" ht="14.25" customHeight="1"/>
    <row r="3" spans="1:23" ht="14.25" customHeight="1">
      <c r="A3" s="2" t="s">
        <v>1</v>
      </c>
      <c r="B3" s="3" t="s">
        <v>2</v>
      </c>
      <c r="C3" s="3" t="s">
        <v>3</v>
      </c>
      <c r="D3" s="3" t="s">
        <v>4</v>
      </c>
      <c r="E3" s="43" t="s">
        <v>61</v>
      </c>
      <c r="F3" s="43" t="s">
        <v>62</v>
      </c>
      <c r="G3" s="43" t="s">
        <v>63</v>
      </c>
      <c r="H3" s="43" t="s">
        <v>64</v>
      </c>
    </row>
    <row r="4" spans="1:23" ht="14.25" customHeight="1">
      <c r="A4" t="s">
        <v>75</v>
      </c>
      <c r="C4" s="49">
        <f t="shared" ref="C4:D4" si="0">B7</f>
        <v>418281</v>
      </c>
      <c r="D4" s="49">
        <f t="shared" si="0"/>
        <v>565221</v>
      </c>
      <c r="E4" s="49">
        <f>D7</f>
        <v>960183</v>
      </c>
      <c r="F4" s="49">
        <f>E7</f>
        <v>1284140.1319325478</v>
      </c>
      <c r="G4" s="49">
        <f t="shared" ref="G4:H4" si="1">F7</f>
        <v>1580571.3401268851</v>
      </c>
      <c r="H4" s="49">
        <f t="shared" si="1"/>
        <v>1855677.8705373763</v>
      </c>
    </row>
    <row r="5" spans="1:23" ht="14.25" customHeight="1">
      <c r="A5" t="s">
        <v>76</v>
      </c>
      <c r="C5" s="49">
        <f t="shared" ref="C5:D5" si="2">C7+C6-C4</f>
        <v>250519</v>
      </c>
      <c r="D5" s="49">
        <f t="shared" si="2"/>
        <v>510672</v>
      </c>
      <c r="E5" s="51">
        <f>$D$5</f>
        <v>510672</v>
      </c>
      <c r="F5" s="51">
        <f t="shared" ref="F5:H5" si="3">$D$5</f>
        <v>510672</v>
      </c>
      <c r="G5" s="51">
        <f t="shared" si="3"/>
        <v>510672</v>
      </c>
      <c r="H5" s="51">
        <f t="shared" si="3"/>
        <v>510672</v>
      </c>
    </row>
    <row r="6" spans="1:23" ht="14.25" customHeight="1">
      <c r="A6" t="s">
        <v>77</v>
      </c>
      <c r="B6" s="52">
        <v>83157</v>
      </c>
      <c r="C6" s="52">
        <v>103579</v>
      </c>
      <c r="D6" s="52">
        <v>115710</v>
      </c>
      <c r="E6" s="49">
        <f>(E4+E5)/E9</f>
        <v>186714.86806745233</v>
      </c>
      <c r="F6" s="49">
        <f t="shared" ref="F6:H6" si="4">(F4+F5)/F9</f>
        <v>214240.79180566277</v>
      </c>
      <c r="G6" s="49">
        <f t="shared" si="4"/>
        <v>235565.4695895089</v>
      </c>
      <c r="H6" s="49">
        <f t="shared" si="4"/>
        <v>252342.11800147456</v>
      </c>
    </row>
    <row r="7" spans="1:23" ht="14.25" customHeight="1">
      <c r="A7" t="s">
        <v>78</v>
      </c>
      <c r="B7" s="49">
        <f>'Balance Sheet Input'!B10</f>
        <v>418281</v>
      </c>
      <c r="C7" s="49">
        <f>'Balance Sheet Input'!C10</f>
        <v>565221</v>
      </c>
      <c r="D7" s="49">
        <f>'Balance Sheet Input'!D10</f>
        <v>960183</v>
      </c>
      <c r="E7" s="49">
        <f>E4+E5-E6</f>
        <v>1284140.1319325478</v>
      </c>
      <c r="F7" s="49">
        <f t="shared" ref="F7:H7" si="5">F4+F5-F6</f>
        <v>1580571.3401268851</v>
      </c>
      <c r="G7" s="49">
        <f t="shared" si="5"/>
        <v>1855677.8705373763</v>
      </c>
      <c r="H7" s="49">
        <f t="shared" si="5"/>
        <v>2114007.7525359015</v>
      </c>
    </row>
    <row r="8" spans="1:23" ht="14.25" customHeight="1">
      <c r="W8" t="s">
        <v>146</v>
      </c>
    </row>
    <row r="9" spans="1:23" ht="14.25" customHeight="1">
      <c r="A9" s="45" t="s">
        <v>79</v>
      </c>
      <c r="C9" s="49">
        <f>(C4+C5)/C6</f>
        <v>6.4569072881568657</v>
      </c>
      <c r="D9" s="49">
        <f t="shared" ref="C9:D9" si="6">(D4+D5)/D6</f>
        <v>9.298185117967332</v>
      </c>
      <c r="E9" s="53">
        <f>AVERAGE(C9:D9)</f>
        <v>7.8775462030620993</v>
      </c>
      <c r="F9" s="54">
        <f>E9+0.5</f>
        <v>8.3775462030620993</v>
      </c>
      <c r="G9" s="54">
        <f t="shared" ref="G9:H9" si="7">F9+0.5</f>
        <v>8.8775462030620993</v>
      </c>
      <c r="H9" s="54">
        <f t="shared" si="7"/>
        <v>9.3775462030620993</v>
      </c>
    </row>
    <row r="10" spans="1:23" ht="14.25" customHeight="1"/>
    <row r="11" spans="1:23" ht="14.25" customHeight="1"/>
    <row r="12" spans="1:23" ht="14.25" customHeight="1">
      <c r="A12" t="s">
        <v>80</v>
      </c>
    </row>
    <row r="13" spans="1:23" ht="14.25" customHeight="1">
      <c r="A13" s="2" t="s">
        <v>1</v>
      </c>
      <c r="B13" s="3" t="s">
        <v>2</v>
      </c>
      <c r="C13" s="3" t="s">
        <v>3</v>
      </c>
      <c r="D13" s="3" t="s">
        <v>4</v>
      </c>
      <c r="E13" s="43" t="s">
        <v>61</v>
      </c>
      <c r="F13" s="43" t="s">
        <v>62</v>
      </c>
      <c r="G13" s="43" t="s">
        <v>63</v>
      </c>
      <c r="H13" s="43" t="s">
        <v>64</v>
      </c>
    </row>
    <row r="14" spans="1:23" ht="14.25" customHeight="1">
      <c r="A14" t="s">
        <v>75</v>
      </c>
      <c r="C14" s="49">
        <f t="shared" ref="C14:E14" si="8">B17</f>
        <v>14951141</v>
      </c>
      <c r="D14" s="49">
        <f t="shared" si="8"/>
        <v>24504567</v>
      </c>
      <c r="E14" s="49">
        <f t="shared" si="8"/>
        <v>25383950</v>
      </c>
      <c r="F14" s="49">
        <f t="shared" ref="F14" si="9">E17</f>
        <v>26490394.690509938</v>
      </c>
      <c r="G14" s="49">
        <f t="shared" ref="G14" si="10">F17</f>
        <v>27281059.995118186</v>
      </c>
      <c r="H14" s="49">
        <f t="shared" ref="H14" si="11">G17</f>
        <v>27846069.370890178</v>
      </c>
    </row>
    <row r="15" spans="1:23" ht="14.25" customHeight="1">
      <c r="A15" t="s">
        <v>81</v>
      </c>
      <c r="C15" s="49">
        <f t="shared" ref="C15:D15" si="12">C17+C16-C14</f>
        <v>18769673</v>
      </c>
      <c r="D15" s="49">
        <f t="shared" si="12"/>
        <v>11686295</v>
      </c>
      <c r="E15" s="51">
        <f>$D$15</f>
        <v>11686295</v>
      </c>
      <c r="F15" s="51">
        <f t="shared" ref="F15:H15" si="13">$D$15</f>
        <v>11686295</v>
      </c>
      <c r="G15" s="51">
        <f t="shared" si="13"/>
        <v>11686295</v>
      </c>
      <c r="H15" s="51">
        <f t="shared" si="13"/>
        <v>11686295</v>
      </c>
    </row>
    <row r="16" spans="1:23" ht="14.25" customHeight="1">
      <c r="A16" t="s">
        <v>82</v>
      </c>
      <c r="C16" s="49">
        <v>9216247</v>
      </c>
      <c r="D16" s="49">
        <v>10806912</v>
      </c>
      <c r="E16" s="49">
        <f>(E14+E15)/E19</f>
        <v>10579850.30949006</v>
      </c>
      <c r="F16" s="49">
        <f t="shared" ref="F16" si="14">(F14+F15)/F19</f>
        <v>10895629.69539175</v>
      </c>
      <c r="G16" s="49">
        <f t="shared" ref="G16" si="15">(G14+G15)/G19</f>
        <v>11121285.624228006</v>
      </c>
      <c r="H16" s="49">
        <f t="shared" ref="H16" si="16">(H14+H15)/H19</f>
        <v>11282539.33644723</v>
      </c>
    </row>
    <row r="17" spans="1:9" ht="14.25" customHeight="1">
      <c r="A17" t="s">
        <v>78</v>
      </c>
      <c r="B17" s="49">
        <f>'Balance Sheet Input'!B9</f>
        <v>14951141</v>
      </c>
      <c r="C17" s="49">
        <f>'Balance Sheet Input'!C9</f>
        <v>24504567</v>
      </c>
      <c r="D17" s="49">
        <f>'Balance Sheet Input'!D9</f>
        <v>25383950</v>
      </c>
      <c r="E17" s="49">
        <f>E14+E15-E16</f>
        <v>26490394.690509938</v>
      </c>
      <c r="F17" s="49">
        <f t="shared" ref="F17" si="17">F14+F15-F16</f>
        <v>27281059.995118186</v>
      </c>
      <c r="G17" s="49">
        <f t="shared" ref="G17" si="18">G14+G15-G16</f>
        <v>27846069.370890178</v>
      </c>
      <c r="H17" s="49">
        <f t="shared" ref="H17" si="19">H14+H15-H16</f>
        <v>28249825.034442946</v>
      </c>
    </row>
    <row r="18" spans="1:9" ht="14.25" customHeight="1"/>
    <row r="19" spans="1:9" ht="14.25" customHeight="1">
      <c r="A19" s="45" t="s">
        <v>83</v>
      </c>
      <c r="C19" s="55">
        <f t="shared" ref="C19:D19" si="20">(C14+C15)/C16</f>
        <v>3.6588444298422123</v>
      </c>
      <c r="D19" s="55">
        <f t="shared" si="20"/>
        <v>3.3488624687607338</v>
      </c>
      <c r="E19" s="53">
        <f>AVERAGE(C19:D19)</f>
        <v>3.5038534493014728</v>
      </c>
      <c r="F19" s="53">
        <f>E19</f>
        <v>3.5038534493014728</v>
      </c>
      <c r="G19" s="53">
        <f t="shared" ref="G19:H19" si="21">F19</f>
        <v>3.5038534493014728</v>
      </c>
      <c r="H19" s="53">
        <f t="shared" si="21"/>
        <v>3.5038534493014728</v>
      </c>
      <c r="I19" t="s">
        <v>145</v>
      </c>
    </row>
    <row r="20" spans="1:9" ht="14.25" customHeight="1"/>
    <row r="21" spans="1:9" ht="14.25" customHeight="1"/>
    <row r="22" spans="1:9" ht="14.25" customHeight="1">
      <c r="A22" t="s">
        <v>84</v>
      </c>
    </row>
    <row r="23" spans="1:9" ht="14.25" customHeight="1">
      <c r="A23" t="s">
        <v>85</v>
      </c>
      <c r="C23" s="49">
        <f t="shared" ref="C23:D23" si="22">B25</f>
        <v>10360058</v>
      </c>
      <c r="D23" s="49">
        <f t="shared" si="22"/>
        <v>14759260</v>
      </c>
      <c r="E23" s="49">
        <f>D25</f>
        <v>15809095</v>
      </c>
      <c r="F23" s="49">
        <f t="shared" ref="F23:H23" si="23">E25</f>
        <v>15309095</v>
      </c>
      <c r="G23" s="49">
        <f t="shared" si="23"/>
        <v>14609095</v>
      </c>
      <c r="H23" s="49">
        <f t="shared" si="23"/>
        <v>14609095</v>
      </c>
    </row>
    <row r="24" spans="1:9" ht="14.25" customHeight="1">
      <c r="A24" t="s">
        <v>86</v>
      </c>
      <c r="C24" s="49">
        <f t="shared" ref="C24:D24" si="24">C25-C23</f>
        <v>4399202</v>
      </c>
      <c r="D24" s="49">
        <f t="shared" si="24"/>
        <v>1049835</v>
      </c>
      <c r="E24" s="56">
        <v>-500000</v>
      </c>
      <c r="F24" s="56">
        <v>-700000</v>
      </c>
      <c r="G24" s="56">
        <v>0</v>
      </c>
      <c r="H24" s="56">
        <v>-400000</v>
      </c>
    </row>
    <row r="25" spans="1:9" ht="14.25" customHeight="1">
      <c r="A25" t="s">
        <v>78</v>
      </c>
      <c r="B25" s="49">
        <f>'Balance Sheet Input'!B23</f>
        <v>10360058</v>
      </c>
      <c r="C25" s="49">
        <f>'Balance Sheet Input'!C23</f>
        <v>14759260</v>
      </c>
      <c r="D25" s="49">
        <f>'Balance Sheet Input'!D23</f>
        <v>15809095</v>
      </c>
      <c r="E25" s="44">
        <f>E23+E24</f>
        <v>15309095</v>
      </c>
      <c r="F25" s="44">
        <f t="shared" ref="F25:H25" si="25">F23+F24</f>
        <v>14609095</v>
      </c>
      <c r="G25" s="44">
        <f t="shared" si="25"/>
        <v>14609095</v>
      </c>
      <c r="H25" s="44">
        <f t="shared" si="25"/>
        <v>14209095</v>
      </c>
    </row>
    <row r="26" spans="1:9" ht="14.25" customHeight="1"/>
    <row r="27" spans="1:9" ht="14.25" customHeight="1">
      <c r="A27" t="s">
        <v>87</v>
      </c>
      <c r="B27" s="44">
        <f>'P&amp;L Input'!B10</f>
        <v>-420493</v>
      </c>
      <c r="C27" s="44">
        <f>'P&amp;L Input'!C10</f>
        <v>-626023</v>
      </c>
      <c r="D27" s="44">
        <f>'P&amp;L Input'!D10</f>
        <v>-767499</v>
      </c>
      <c r="E27" s="44">
        <f>(E23+E24)*E28</f>
        <v>-696284.80809230579</v>
      </c>
      <c r="F27" s="44">
        <f t="shared" ref="F27:H27" si="26">(F23+F24)*F28</f>
        <v>-664447.56587357156</v>
      </c>
      <c r="G27" s="44">
        <f t="shared" si="26"/>
        <v>-664447.56587357156</v>
      </c>
      <c r="H27" s="44">
        <f t="shared" si="26"/>
        <v>-646254.85603429482</v>
      </c>
    </row>
    <row r="28" spans="1:9" ht="14.25" customHeight="1">
      <c r="B28" s="57">
        <f t="shared" ref="B28:D28" si="27">B27/B25</f>
        <v>-4.0587900183570398E-2</v>
      </c>
      <c r="C28" s="57">
        <f t="shared" si="27"/>
        <v>-4.2415608912641962E-2</v>
      </c>
      <c r="D28" s="57">
        <f t="shared" si="27"/>
        <v>-4.8547940283741729E-2</v>
      </c>
      <c r="E28" s="58">
        <f>AVERAGE(C28:D28)</f>
        <v>-4.5481774598191846E-2</v>
      </c>
      <c r="F28" s="58">
        <f>E28</f>
        <v>-4.5481774598191846E-2</v>
      </c>
      <c r="G28" s="58">
        <f t="shared" ref="G28:H28" si="28">F28</f>
        <v>-4.5481774598191846E-2</v>
      </c>
      <c r="H28" s="58">
        <f t="shared" si="28"/>
        <v>-4.5481774598191846E-2</v>
      </c>
    </row>
    <row r="29" spans="1:9" ht="14.25" customHeight="1"/>
    <row r="30" spans="1:9" ht="14.25" customHeight="1"/>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1">
    <mergeCell ref="A1:H1"/>
  </mergeCells>
  <pageMargins left="0.7" right="0.7" top="0.75" bottom="0.75" header="0" footer="0"/>
  <pageSetup orientation="portrait"/>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
  <sheetViews>
    <sheetView zoomScale="80" zoomScaleNormal="80" workbookViewId="0">
      <pane ySplit="3" topLeftCell="A4" activePane="bottomLeft" state="frozen"/>
      <selection pane="bottomLeft" activeCell="E21" sqref="E21"/>
    </sheetView>
  </sheetViews>
  <sheetFormatPr defaultColWidth="14.453125" defaultRowHeight="15" customHeight="1"/>
  <cols>
    <col min="1" max="1" width="31.26953125" customWidth="1"/>
    <col min="2" max="8" width="14.453125" bestFit="1" customWidth="1"/>
    <col min="9" max="11" width="8.7265625" customWidth="1"/>
  </cols>
  <sheetData>
    <row r="1" spans="1:8" ht="24.75" customHeight="1">
      <c r="A1" s="94" t="s">
        <v>88</v>
      </c>
      <c r="B1" s="89"/>
      <c r="C1" s="89"/>
      <c r="D1" s="89"/>
      <c r="E1" s="89"/>
      <c r="F1" s="89"/>
      <c r="G1" s="89"/>
      <c r="H1" s="89"/>
    </row>
    <row r="2" spans="1:8" ht="14.25" customHeight="1"/>
    <row r="3" spans="1:8" ht="14.25" customHeight="1">
      <c r="A3" s="2" t="s">
        <v>1</v>
      </c>
      <c r="B3" s="3" t="s">
        <v>2</v>
      </c>
      <c r="C3" s="3" t="s">
        <v>3</v>
      </c>
      <c r="D3" s="3" t="s">
        <v>4</v>
      </c>
      <c r="E3" s="59" t="s">
        <v>61</v>
      </c>
      <c r="F3" s="59" t="s">
        <v>62</v>
      </c>
      <c r="G3" s="59" t="s">
        <v>63</v>
      </c>
      <c r="H3" s="59" t="s">
        <v>64</v>
      </c>
    </row>
    <row r="4" spans="1:8" ht="14.25" customHeight="1">
      <c r="A4" s="25" t="s">
        <v>50</v>
      </c>
      <c r="B4" s="48">
        <f>'Revenue Modelling'!B3</f>
        <v>15428752</v>
      </c>
      <c r="C4" s="48">
        <f>'Revenue Modelling'!C3</f>
        <v>19859230</v>
      </c>
      <c r="D4" s="48">
        <f>'Revenue Modelling'!D3</f>
        <v>24756675</v>
      </c>
      <c r="E4" s="48">
        <f>'Revenue Modelling'!E3</f>
        <v>28450601.211875249</v>
      </c>
      <c r="F4" s="48">
        <f>'Revenue Modelling'!F3</f>
        <v>33461471.562312212</v>
      </c>
      <c r="G4" s="48">
        <f>'Revenue Modelling'!G3</f>
        <v>38173270.285082638</v>
      </c>
      <c r="H4" s="48">
        <f>'Revenue Modelling'!H3</f>
        <v>42882607.805020079</v>
      </c>
    </row>
    <row r="5" spans="1:8" ht="14.25" customHeight="1">
      <c r="A5" s="60" t="s">
        <v>51</v>
      </c>
      <c r="B5" s="61">
        <f>'Revenue Modelling'!B4</f>
        <v>365589</v>
      </c>
      <c r="C5" s="61">
        <f>'Revenue Modelling'!C4</f>
        <v>297217</v>
      </c>
      <c r="D5" s="61">
        <f>'Revenue Modelling'!D4</f>
        <v>239381</v>
      </c>
      <c r="E5" s="61">
        <f>'Revenue Modelling'!E4</f>
        <v>193705.83812687785</v>
      </c>
      <c r="F5" s="61">
        <f>'Revenue Modelling'!F4</f>
        <v>156379.00173325167</v>
      </c>
      <c r="G5" s="61">
        <f>'Revenue Modelling'!G4</f>
        <v>126393.02674674911</v>
      </c>
      <c r="H5" s="61">
        <f>'Revenue Modelling'!H4</f>
        <v>102097.09627329883</v>
      </c>
    </row>
    <row r="6" spans="1:8" ht="14.25" customHeight="1">
      <c r="A6" s="62" t="s">
        <v>53</v>
      </c>
      <c r="B6" s="44">
        <f t="shared" ref="B6:H6" si="0">SUM(B4:B5)</f>
        <v>15794341</v>
      </c>
      <c r="C6" s="44">
        <f t="shared" si="0"/>
        <v>20156447</v>
      </c>
      <c r="D6" s="44">
        <f t="shared" si="0"/>
        <v>24996056</v>
      </c>
      <c r="E6" s="44">
        <f t="shared" si="0"/>
        <v>28644307.050002128</v>
      </c>
      <c r="F6" s="44">
        <f t="shared" si="0"/>
        <v>33617850.564045466</v>
      </c>
      <c r="G6" s="44">
        <f t="shared" si="0"/>
        <v>38299663.311829388</v>
      </c>
      <c r="H6" s="44">
        <f t="shared" si="0"/>
        <v>42984704.901293375</v>
      </c>
    </row>
    <row r="7" spans="1:8" ht="14.25" customHeight="1">
      <c r="A7" s="63" t="s">
        <v>65</v>
      </c>
      <c r="B7" s="64">
        <f>'Other Items'!B4</f>
        <v>9884381</v>
      </c>
      <c r="C7" s="64">
        <f>'Other Items'!C4</f>
        <v>12336634</v>
      </c>
      <c r="D7" s="64">
        <f>'Other Items'!D4</f>
        <v>15160609</v>
      </c>
      <c r="E7" s="64">
        <f>'Other Items'!E4</f>
        <v>17610348.123559561</v>
      </c>
      <c r="F7" s="64">
        <f>'Other Items'!F4</f>
        <v>20668052.837347303</v>
      </c>
      <c r="G7" s="64">
        <f>'Other Items'!G4</f>
        <v>23546403.226269968</v>
      </c>
      <c r="H7" s="64">
        <f>'Other Items'!H4</f>
        <v>26426738.687686183</v>
      </c>
    </row>
    <row r="8" spans="1:8" ht="14.25" customHeight="1">
      <c r="A8" s="62" t="s">
        <v>89</v>
      </c>
      <c r="B8" s="44">
        <f>B6-B7</f>
        <v>5909960</v>
      </c>
      <c r="C8" s="44">
        <f t="shared" ref="C8:H8" si="1">C6-C7</f>
        <v>7819813</v>
      </c>
      <c r="D8" s="44">
        <f t="shared" si="1"/>
        <v>9835447</v>
      </c>
      <c r="E8" s="44">
        <f t="shared" si="1"/>
        <v>11033958.926442567</v>
      </c>
      <c r="F8" s="44">
        <f t="shared" si="1"/>
        <v>12949797.726698164</v>
      </c>
      <c r="G8" s="44">
        <f t="shared" si="1"/>
        <v>14753260.08555942</v>
      </c>
      <c r="H8" s="44">
        <f t="shared" si="1"/>
        <v>16557966.213607192</v>
      </c>
    </row>
    <row r="9" spans="1:8" ht="14.25" customHeight="1">
      <c r="A9" t="s">
        <v>90</v>
      </c>
      <c r="B9" s="44"/>
      <c r="C9" s="44"/>
      <c r="D9" s="44"/>
      <c r="E9" s="44"/>
      <c r="F9" s="44"/>
      <c r="G9" s="44"/>
      <c r="H9" s="44"/>
    </row>
    <row r="10" spans="1:8" ht="14.25" customHeight="1">
      <c r="A10" s="7" t="s">
        <v>7</v>
      </c>
      <c r="B10" s="44">
        <f>'Other Items'!B7</f>
        <v>2369469</v>
      </c>
      <c r="C10" s="44">
        <f>'Other Items'!C7</f>
        <v>2652462</v>
      </c>
      <c r="D10" s="44">
        <f>'Other Items'!D7</f>
        <v>2228362</v>
      </c>
      <c r="E10" s="44">
        <f>'Other Items'!E7</f>
        <v>3540077.3062013234</v>
      </c>
      <c r="F10" s="44">
        <f>'Other Items'!F7</f>
        <v>4154744.9431155245</v>
      </c>
      <c r="G10" s="44">
        <f>'Other Items'!G7</f>
        <v>4733358.3140510488</v>
      </c>
      <c r="H10" s="44">
        <f>'Other Items'!H7</f>
        <v>5312370.7293459615</v>
      </c>
    </row>
    <row r="11" spans="1:8" ht="14.25" customHeight="1">
      <c r="A11" s="7" t="s">
        <v>8</v>
      </c>
      <c r="B11" s="44">
        <f>'Other Items'!B10</f>
        <v>1221814</v>
      </c>
      <c r="C11" s="44">
        <f>'Other Items'!C10</f>
        <v>1545149</v>
      </c>
      <c r="D11" s="44">
        <f>'Other Items'!D10</f>
        <v>1829600</v>
      </c>
      <c r="E11" s="44">
        <f>'Other Items'!E10</f>
        <v>2169434.4552735938</v>
      </c>
      <c r="F11" s="44">
        <f>'Other Items'!F10</f>
        <v>2546115.819753218</v>
      </c>
      <c r="G11" s="44">
        <f>'Other Items'!G10</f>
        <v>2900702.3653607448</v>
      </c>
      <c r="H11" s="44">
        <f>'Other Items'!H10</f>
        <v>3255533.4538150975</v>
      </c>
    </row>
    <row r="12" spans="1:8" ht="14.25" customHeight="1">
      <c r="A12" s="65" t="s">
        <v>9</v>
      </c>
      <c r="B12" s="99">
        <f>'Other Items'!B13</f>
        <v>630294</v>
      </c>
      <c r="C12" s="99">
        <f>'Other Items'!C13</f>
        <v>914369</v>
      </c>
      <c r="D12" s="99">
        <f>'Other Items'!D13</f>
        <v>1076486</v>
      </c>
      <c r="E12" s="99">
        <f>'Other Items'!E13</f>
        <v>1225366.7194431941</v>
      </c>
      <c r="F12" s="99">
        <f>'Other Items'!F13</f>
        <v>1438128.5324335631</v>
      </c>
      <c r="G12" s="99">
        <f>'Other Items'!G13</f>
        <v>1638410.4773863521</v>
      </c>
      <c r="H12" s="99">
        <f>'Other Items'!H13</f>
        <v>1838830.5480452438</v>
      </c>
    </row>
    <row r="13" spans="1:8" ht="14.25" customHeight="1">
      <c r="A13" s="62" t="s">
        <v>91</v>
      </c>
      <c r="B13" s="44">
        <f t="shared" ref="B13:H13" si="2">B8-SUM(B10:B12)</f>
        <v>1688383</v>
      </c>
      <c r="C13" s="44">
        <f t="shared" si="2"/>
        <v>2707833</v>
      </c>
      <c r="D13" s="44">
        <f t="shared" si="2"/>
        <v>4700999</v>
      </c>
      <c r="E13" s="44">
        <f t="shared" si="2"/>
        <v>4099080.445524456</v>
      </c>
      <c r="F13" s="44">
        <f t="shared" si="2"/>
        <v>4810808.4313958585</v>
      </c>
      <c r="G13" s="44">
        <f t="shared" si="2"/>
        <v>5480788.9287612755</v>
      </c>
      <c r="H13" s="44">
        <f t="shared" si="2"/>
        <v>6151231.4824008886</v>
      </c>
    </row>
    <row r="14" spans="1:8" ht="14.25" customHeight="1">
      <c r="A14" s="65" t="s">
        <v>77</v>
      </c>
      <c r="B14" s="99">
        <f>Schedules!B6</f>
        <v>83157</v>
      </c>
      <c r="C14" s="99">
        <f>Schedules!C6</f>
        <v>103579</v>
      </c>
      <c r="D14" s="99">
        <f>Schedules!D6</f>
        <v>115710</v>
      </c>
      <c r="E14" s="99">
        <f>Schedules!E6</f>
        <v>186714.86806745233</v>
      </c>
      <c r="F14" s="99">
        <f>Schedules!F6</f>
        <v>214240.79180566277</v>
      </c>
      <c r="G14" s="99">
        <f>Schedules!G6</f>
        <v>235565.4695895089</v>
      </c>
      <c r="H14" s="99">
        <f>Schedules!H6</f>
        <v>252342.11800147456</v>
      </c>
    </row>
    <row r="15" spans="1:8" ht="14.25" customHeight="1">
      <c r="A15" s="62" t="s">
        <v>92</v>
      </c>
      <c r="B15" s="44">
        <f t="shared" ref="B15:H15" si="3">B13-B14</f>
        <v>1605226</v>
      </c>
      <c r="C15" s="44">
        <f t="shared" si="3"/>
        <v>2604254</v>
      </c>
      <c r="D15" s="44">
        <f t="shared" si="3"/>
        <v>4585289</v>
      </c>
      <c r="E15" s="44">
        <f t="shared" si="3"/>
        <v>3912365.5774570038</v>
      </c>
      <c r="F15" s="44">
        <f t="shared" si="3"/>
        <v>4596567.6395901954</v>
      </c>
      <c r="G15" s="44">
        <f t="shared" si="3"/>
        <v>5245223.4591717664</v>
      </c>
      <c r="H15" s="44">
        <f t="shared" si="3"/>
        <v>5898889.3643994136</v>
      </c>
    </row>
    <row r="16" spans="1:8" ht="14.25" customHeight="1">
      <c r="A16" s="8" t="s">
        <v>12</v>
      </c>
      <c r="B16" s="44">
        <f>Schedules!B27</f>
        <v>-420493</v>
      </c>
      <c r="C16" s="44">
        <f>Schedules!C27</f>
        <v>-626023</v>
      </c>
      <c r="D16" s="44">
        <f>Schedules!D27</f>
        <v>-767499</v>
      </c>
      <c r="E16" s="44">
        <f>Schedules!E27</f>
        <v>-696284.80809230579</v>
      </c>
      <c r="F16" s="44">
        <f>Schedules!F27</f>
        <v>-664447.56587357156</v>
      </c>
      <c r="G16" s="44">
        <f>Schedules!G27</f>
        <v>-664447.56587357156</v>
      </c>
      <c r="H16" s="44">
        <f>Schedules!H27</f>
        <v>-646254.85603429482</v>
      </c>
    </row>
    <row r="17" spans="1:9" ht="14.25" customHeight="1">
      <c r="A17" s="66" t="s">
        <v>13</v>
      </c>
      <c r="B17" s="64">
        <f>'P&amp;L Input'!B11</f>
        <v>41725</v>
      </c>
      <c r="C17" s="64">
        <f>'P&amp;L Input'!C11</f>
        <v>84000</v>
      </c>
      <c r="D17" s="64">
        <f>'P&amp;L Input'!D11</f>
        <v>-618441</v>
      </c>
      <c r="E17" s="64">
        <v>0</v>
      </c>
      <c r="F17" s="64">
        <v>0</v>
      </c>
      <c r="G17" s="64">
        <v>0</v>
      </c>
      <c r="H17" s="64">
        <v>0</v>
      </c>
      <c r="I17" t="s">
        <v>148</v>
      </c>
    </row>
    <row r="18" spans="1:9" ht="14.25" customHeight="1">
      <c r="A18" s="62" t="s">
        <v>93</v>
      </c>
      <c r="B18" s="44">
        <f t="shared" ref="B18:H18" si="4">B15+B16+B17</f>
        <v>1226458</v>
      </c>
      <c r="C18" s="44">
        <f t="shared" si="4"/>
        <v>2062231</v>
      </c>
      <c r="D18" s="44">
        <f t="shared" si="4"/>
        <v>3199349</v>
      </c>
      <c r="E18" s="44">
        <f t="shared" si="4"/>
        <v>3216080.7693646979</v>
      </c>
      <c r="F18" s="44">
        <f t="shared" si="4"/>
        <v>3932120.0737166237</v>
      </c>
      <c r="G18" s="44">
        <f t="shared" si="4"/>
        <v>4580775.8932981947</v>
      </c>
      <c r="H18" s="44">
        <f t="shared" si="4"/>
        <v>5252634.5083651189</v>
      </c>
    </row>
    <row r="19" spans="1:9" ht="14.25" customHeight="1">
      <c r="A19" t="s">
        <v>94</v>
      </c>
      <c r="B19" s="64">
        <f>'P&amp;L Input'!B13</f>
        <v>-15216</v>
      </c>
      <c r="C19" s="64">
        <f>'P&amp;L Input'!C13</f>
        <v>-195315</v>
      </c>
      <c r="D19" s="99">
        <f>'P&amp;L Input'!D13</f>
        <v>-437954</v>
      </c>
      <c r="E19" s="99">
        <f>E18*E20</f>
        <v>-440244.38636308414</v>
      </c>
      <c r="F19" s="99">
        <f t="shared" ref="F19:H19" si="5">F18*F20</f>
        <v>-538261.91352193523</v>
      </c>
      <c r="G19" s="99">
        <f t="shared" si="5"/>
        <v>-627055.41832839034</v>
      </c>
      <c r="H19" s="99">
        <f t="shared" si="5"/>
        <v>-719025.11838393903</v>
      </c>
    </row>
    <row r="20" spans="1:9" ht="14.25" customHeight="1">
      <c r="A20" s="67" t="s">
        <v>95</v>
      </c>
      <c r="B20" s="68">
        <f>B19/B18</f>
        <v>-1.2406458272521358E-2</v>
      </c>
      <c r="C20" s="68">
        <f t="shared" ref="C20:D20" si="6">C19/C18</f>
        <v>-9.471053436787634E-2</v>
      </c>
      <c r="D20" s="68">
        <f t="shared" si="6"/>
        <v>-0.13688847324877654</v>
      </c>
      <c r="E20" s="68">
        <f>D20</f>
        <v>-0.13688847324877654</v>
      </c>
      <c r="F20" s="68">
        <f t="shared" ref="F20:H20" si="7">E20</f>
        <v>-0.13688847324877654</v>
      </c>
      <c r="G20" s="68">
        <f t="shared" si="7"/>
        <v>-0.13688847324877654</v>
      </c>
      <c r="H20" s="68">
        <f t="shared" si="7"/>
        <v>-0.13688847324877654</v>
      </c>
      <c r="I20" t="s">
        <v>149</v>
      </c>
    </row>
    <row r="21" spans="1:9" ht="14.25" customHeight="1">
      <c r="A21" s="100" t="s">
        <v>96</v>
      </c>
      <c r="B21" s="101">
        <f t="shared" ref="B21:H21" si="8">B18+B19</f>
        <v>1211242</v>
      </c>
      <c r="C21" s="101">
        <f t="shared" si="8"/>
        <v>1866916</v>
      </c>
      <c r="D21" s="101">
        <f t="shared" si="8"/>
        <v>2761395</v>
      </c>
      <c r="E21" s="101">
        <f t="shared" si="8"/>
        <v>2775836.3830016139</v>
      </c>
      <c r="F21" s="101">
        <f t="shared" si="8"/>
        <v>3393858.1601946885</v>
      </c>
      <c r="G21" s="101">
        <f t="shared" si="8"/>
        <v>3953720.4749698043</v>
      </c>
      <c r="H21" s="101">
        <f t="shared" si="8"/>
        <v>4533609.3899811795</v>
      </c>
    </row>
    <row r="22" spans="1:9" ht="14.25" customHeight="1"/>
    <row r="23" spans="1:9" ht="14.25" customHeight="1"/>
    <row r="24" spans="1:9" ht="14.25" customHeight="1"/>
    <row r="25" spans="1:9" ht="14.25" customHeight="1"/>
    <row r="26" spans="1:9" ht="14.25" customHeight="1"/>
    <row r="27" spans="1:9" ht="14.25" customHeight="1"/>
    <row r="28" spans="1:9" ht="14.25" customHeight="1"/>
    <row r="29" spans="1:9" ht="14.25" customHeight="1"/>
    <row r="30" spans="1:9" ht="14.25" customHeight="1"/>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1">
    <mergeCell ref="A1:H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
  <sheetViews>
    <sheetView zoomScale="80" zoomScaleNormal="80" workbookViewId="0">
      <pane ySplit="3" topLeftCell="A21" activePane="bottomLeft" state="frozen"/>
      <selection pane="bottomLeft" activeCell="J33" sqref="J33:K36"/>
    </sheetView>
  </sheetViews>
  <sheetFormatPr defaultColWidth="14.453125" defaultRowHeight="15" customHeight="1"/>
  <cols>
    <col min="1" max="1" width="42.7265625" customWidth="1"/>
    <col min="2" max="4" width="12.7265625" bestFit="1" customWidth="1"/>
    <col min="5" max="7" width="12.453125" customWidth="1"/>
    <col min="8" max="8" width="13.81640625" bestFit="1" customWidth="1"/>
    <col min="9" max="9" width="8.7265625" customWidth="1"/>
    <col min="10" max="11" width="11.26953125" bestFit="1" customWidth="1"/>
  </cols>
  <sheetData>
    <row r="1" spans="1:11" ht="14.25" customHeight="1">
      <c r="A1" s="88" t="s">
        <v>17</v>
      </c>
      <c r="B1" s="89"/>
      <c r="C1" s="89"/>
      <c r="D1" s="89"/>
      <c r="E1" s="89"/>
      <c r="F1" s="89"/>
      <c r="G1" s="89"/>
      <c r="H1" s="89"/>
    </row>
    <row r="2" spans="1:11" ht="14.25" customHeight="1">
      <c r="A2" s="1"/>
      <c r="B2" s="1"/>
      <c r="C2" s="1"/>
      <c r="D2" s="1"/>
    </row>
    <row r="3" spans="1:11" ht="14.25" customHeight="1">
      <c r="A3" s="2" t="s">
        <v>1</v>
      </c>
      <c r="B3" s="3" t="s">
        <v>2</v>
      </c>
      <c r="C3" s="3" t="s">
        <v>3</v>
      </c>
      <c r="D3" s="3" t="s">
        <v>4</v>
      </c>
      <c r="E3" s="59" t="s">
        <v>61</v>
      </c>
      <c r="F3" s="59" t="s">
        <v>62</v>
      </c>
      <c r="G3" s="59" t="s">
        <v>63</v>
      </c>
      <c r="H3" s="59" t="s">
        <v>64</v>
      </c>
    </row>
    <row r="4" spans="1:11" ht="14.25" customHeight="1">
      <c r="A4" s="10" t="s">
        <v>18</v>
      </c>
      <c r="B4" s="1"/>
      <c r="C4" s="1"/>
      <c r="D4" s="1"/>
    </row>
    <row r="5" spans="1:11" ht="14.25" customHeight="1">
      <c r="A5" s="11" t="s">
        <v>19</v>
      </c>
      <c r="B5" s="11"/>
      <c r="C5" s="10"/>
      <c r="D5" s="10"/>
    </row>
    <row r="6" spans="1:11" ht="14.25" customHeight="1">
      <c r="A6" s="11" t="s">
        <v>20</v>
      </c>
      <c r="B6" s="12">
        <v>3794483</v>
      </c>
      <c r="C6" s="13">
        <v>5018437</v>
      </c>
      <c r="D6" s="13">
        <v>8205550</v>
      </c>
      <c r="E6" s="13">
        <f>D6+'Cashflow Statement'!E25</f>
        <v>9146486.3228386026</v>
      </c>
      <c r="F6" s="13">
        <f>E6+'Cashflow Statement'!F25</f>
        <v>10999082.354527311</v>
      </c>
      <c r="G6" s="13">
        <f>F6+'Cashflow Statement'!G25</f>
        <v>14344101.517555868</v>
      </c>
      <c r="H6" s="13">
        <f>G6+'Cashflow Statement'!H25</f>
        <v>18047199.552760962</v>
      </c>
      <c r="J6" s="111">
        <f t="shared" ref="J6:J11" si="0">E6-D6</f>
        <v>940936.32283860259</v>
      </c>
    </row>
    <row r="7" spans="1:11" ht="14.25" customHeight="1">
      <c r="A7" s="11" t="s">
        <v>22</v>
      </c>
      <c r="B7" s="12">
        <f>748466+5151186</f>
        <v>5899652</v>
      </c>
      <c r="C7" s="14">
        <v>1160067</v>
      </c>
      <c r="D7" s="14">
        <v>1556030</v>
      </c>
      <c r="E7" s="14">
        <f>'Other Items'!E16</f>
        <v>1783137.351709198</v>
      </c>
      <c r="F7" s="14">
        <f>'Other Items'!F16</f>
        <v>2092745.512058849</v>
      </c>
      <c r="G7" s="14">
        <f>'Other Items'!G16</f>
        <v>2384193.1344331233</v>
      </c>
      <c r="H7" s="14">
        <f>'Other Items'!H16</f>
        <v>2675841.7554977285</v>
      </c>
      <c r="J7" s="111">
        <f t="shared" si="0"/>
        <v>227107.35170919797</v>
      </c>
    </row>
    <row r="8" spans="1:11" ht="14.25" customHeight="1">
      <c r="A8" s="11" t="s">
        <v>24</v>
      </c>
      <c r="B8" s="15">
        <f t="shared" ref="B8:H8" si="1">SUM(B6:B7)</f>
        <v>9694135</v>
      </c>
      <c r="C8" s="16">
        <f t="shared" si="1"/>
        <v>6178504</v>
      </c>
      <c r="D8" s="16">
        <f t="shared" si="1"/>
        <v>9761580</v>
      </c>
      <c r="E8" s="16">
        <f t="shared" si="1"/>
        <v>10929623.674547801</v>
      </c>
      <c r="F8" s="16">
        <f t="shared" si="1"/>
        <v>13091827.86658616</v>
      </c>
      <c r="G8" s="16">
        <f t="shared" si="1"/>
        <v>16728294.651988991</v>
      </c>
      <c r="H8" s="16">
        <f t="shared" si="1"/>
        <v>20723041.30825869</v>
      </c>
      <c r="J8" s="111">
        <f t="shared" si="0"/>
        <v>1168043.6745478008</v>
      </c>
    </row>
    <row r="9" spans="1:11" ht="14.25" customHeight="1">
      <c r="A9" s="11" t="s">
        <v>25</v>
      </c>
      <c r="B9" s="12">
        <v>14951141</v>
      </c>
      <c r="C9" s="16">
        <v>24504567</v>
      </c>
      <c r="D9" s="16">
        <v>25383950</v>
      </c>
      <c r="E9" s="16">
        <f>Schedules!E17</f>
        <v>26490394.690509938</v>
      </c>
      <c r="F9" s="16">
        <f>Schedules!F17</f>
        <v>27281059.995118186</v>
      </c>
      <c r="G9" s="16">
        <f>Schedules!G17</f>
        <v>27846069.370890178</v>
      </c>
      <c r="H9" s="16">
        <f>Schedules!H17</f>
        <v>28249825.034442946</v>
      </c>
      <c r="J9" s="111">
        <f t="shared" si="0"/>
        <v>1106444.6905099377</v>
      </c>
    </row>
    <row r="10" spans="1:11" ht="14.25" customHeight="1">
      <c r="A10" s="11" t="s">
        <v>27</v>
      </c>
      <c r="B10" s="12">
        <v>418281</v>
      </c>
      <c r="C10" s="16">
        <v>565221</v>
      </c>
      <c r="D10" s="16">
        <v>960183</v>
      </c>
      <c r="E10" s="16">
        <f>Schedules!E7</f>
        <v>1284140.1319325478</v>
      </c>
      <c r="F10" s="16">
        <f>Schedules!F7</f>
        <v>1580571.3401268851</v>
      </c>
      <c r="G10" s="16">
        <f>Schedules!G7</f>
        <v>1855677.8705373763</v>
      </c>
      <c r="H10" s="16">
        <f>Schedules!H7</f>
        <v>2114007.7525359015</v>
      </c>
      <c r="J10" s="111">
        <f t="shared" si="0"/>
        <v>323957.13193254778</v>
      </c>
    </row>
    <row r="11" spans="1:11" ht="14.25" customHeight="1">
      <c r="A11" s="11" t="s">
        <v>28</v>
      </c>
      <c r="B11" s="12">
        <v>910843</v>
      </c>
      <c r="C11" s="16">
        <v>2727420</v>
      </c>
      <c r="D11" s="16">
        <v>3174646</v>
      </c>
      <c r="E11" s="16">
        <v>3174646</v>
      </c>
      <c r="F11" s="16">
        <v>3174646</v>
      </c>
      <c r="G11" s="16">
        <v>3174646</v>
      </c>
      <c r="H11" s="16">
        <v>3174646</v>
      </c>
      <c r="J11" s="111">
        <f t="shared" si="0"/>
        <v>0</v>
      </c>
    </row>
    <row r="12" spans="1:11" ht="14.25" customHeight="1">
      <c r="A12" s="10" t="s">
        <v>29</v>
      </c>
      <c r="B12" s="18">
        <f t="shared" ref="B12:F12" si="2">SUM(B8:B11)</f>
        <v>25974400</v>
      </c>
      <c r="C12" s="18">
        <f t="shared" si="2"/>
        <v>33975712</v>
      </c>
      <c r="D12" s="18">
        <f t="shared" si="2"/>
        <v>39280359</v>
      </c>
      <c r="E12" s="18">
        <f t="shared" si="2"/>
        <v>41878804.496990286</v>
      </c>
      <c r="F12" s="18">
        <f t="shared" si="2"/>
        <v>45128105.201831236</v>
      </c>
      <c r="G12" s="18">
        <f t="shared" ref="G12:H12" si="3">ROUND(SUM(G8:G11),3)</f>
        <v>49604687.892999999</v>
      </c>
      <c r="H12" s="18">
        <f t="shared" si="3"/>
        <v>54261520.094999999</v>
      </c>
    </row>
    <row r="13" spans="1:11" ht="14.25" customHeight="1">
      <c r="A13" s="10"/>
      <c r="B13" s="13"/>
      <c r="C13" s="13"/>
      <c r="D13" s="13"/>
    </row>
    <row r="14" spans="1:11" ht="14.25" customHeight="1">
      <c r="A14" s="10" t="s">
        <v>30</v>
      </c>
      <c r="B14" s="11"/>
      <c r="C14" s="19"/>
      <c r="D14" s="19"/>
    </row>
    <row r="15" spans="1:11" ht="14.25" customHeight="1">
      <c r="A15" s="11" t="s">
        <v>31</v>
      </c>
      <c r="B15" s="11"/>
      <c r="C15" s="16"/>
      <c r="D15" s="16"/>
    </row>
    <row r="16" spans="1:11" ht="14.25" customHeight="1">
      <c r="A16" s="11" t="s">
        <v>32</v>
      </c>
      <c r="B16" s="12">
        <v>4681562</v>
      </c>
      <c r="C16" s="13">
        <v>4413561</v>
      </c>
      <c r="D16" s="13">
        <v>4429536</v>
      </c>
      <c r="E16" s="13">
        <v>4429536</v>
      </c>
      <c r="F16" s="13">
        <v>4429536</v>
      </c>
      <c r="G16" s="13">
        <v>4429536</v>
      </c>
      <c r="H16" s="13">
        <v>4429536</v>
      </c>
      <c r="J16" s="111"/>
      <c r="K16" s="111"/>
    </row>
    <row r="17" spans="1:11" ht="14.25" customHeight="1">
      <c r="A17" s="11" t="s">
        <v>33</v>
      </c>
      <c r="B17" s="12">
        <v>562985</v>
      </c>
      <c r="C17" s="16">
        <v>674347</v>
      </c>
      <c r="D17" s="16">
        <v>656183</v>
      </c>
      <c r="E17" s="16">
        <f>'Other Items'!E19</f>
        <v>762212.8545602411</v>
      </c>
      <c r="F17" s="16">
        <f>'Other Items'!F19</f>
        <v>894556.73680187017</v>
      </c>
      <c r="G17" s="16">
        <f>'Other Items'!G19</f>
        <v>1019137.787157726</v>
      </c>
      <c r="H17" s="16">
        <f>'Other Items'!H19</f>
        <v>1143804.755620436</v>
      </c>
      <c r="J17" s="111"/>
      <c r="K17" s="111"/>
    </row>
    <row r="18" spans="1:11" ht="14.25" customHeight="1">
      <c r="A18" s="11" t="s">
        <v>34</v>
      </c>
      <c r="B18" s="12">
        <v>481874</v>
      </c>
      <c r="C18" s="16">
        <v>843043</v>
      </c>
      <c r="D18" s="16">
        <v>1102196</v>
      </c>
      <c r="E18" s="16">
        <f>'Other Items'!E22</f>
        <v>1111676.5673939134</v>
      </c>
      <c r="F18" s="16">
        <f>'Other Items'!F22</f>
        <v>1304698.2303660517</v>
      </c>
      <c r="G18" s="16">
        <f>'Other Items'!G22</f>
        <v>1486397.9138512246</v>
      </c>
      <c r="H18" s="16">
        <f>'Other Items'!H22</f>
        <v>1668222.9076687191</v>
      </c>
      <c r="J18" s="111"/>
      <c r="K18" s="111"/>
    </row>
    <row r="19" spans="1:11" ht="14.25" customHeight="1">
      <c r="A19" s="11" t="s">
        <v>35</v>
      </c>
      <c r="B19" s="12">
        <v>760899</v>
      </c>
      <c r="C19" s="16">
        <v>924745</v>
      </c>
      <c r="D19" s="16">
        <v>1117992</v>
      </c>
      <c r="E19" s="16">
        <f>'Other Items'!E25</f>
        <v>1325090.692034519</v>
      </c>
      <c r="F19" s="16">
        <f>'Other Items'!F25</f>
        <v>1555167.6914670116</v>
      </c>
      <c r="G19" s="16">
        <f>'Other Items'!G25</f>
        <v>1771749.1742414942</v>
      </c>
      <c r="H19" s="16">
        <f>'Other Items'!H25</f>
        <v>1988480.023801106</v>
      </c>
      <c r="J19" s="111"/>
      <c r="K19" s="111"/>
    </row>
    <row r="20" spans="1:11" ht="14.25" customHeight="1">
      <c r="A20" s="11" t="s">
        <v>36</v>
      </c>
      <c r="B20" s="14">
        <v>0</v>
      </c>
      <c r="C20" s="14">
        <v>0</v>
      </c>
      <c r="D20" s="14">
        <v>499878</v>
      </c>
      <c r="E20" s="14">
        <v>499878</v>
      </c>
      <c r="F20" s="14">
        <v>499878</v>
      </c>
      <c r="G20" s="14">
        <v>499878</v>
      </c>
      <c r="H20" s="14">
        <v>499878</v>
      </c>
      <c r="J20" s="111"/>
      <c r="K20" s="111"/>
    </row>
    <row r="21" spans="1:11" ht="14.25" customHeight="1">
      <c r="A21" s="11" t="s">
        <v>37</v>
      </c>
      <c r="B21" s="15">
        <f t="shared" ref="B21:H21" si="4">SUM(B16:B20)</f>
        <v>6487320</v>
      </c>
      <c r="C21" s="16">
        <f t="shared" si="4"/>
        <v>6855696</v>
      </c>
      <c r="D21" s="16">
        <f t="shared" si="4"/>
        <v>7805785</v>
      </c>
      <c r="E21" s="16">
        <f t="shared" si="4"/>
        <v>8128394.1139886742</v>
      </c>
      <c r="F21" s="16">
        <f t="shared" si="4"/>
        <v>8683836.6586349327</v>
      </c>
      <c r="G21" s="16">
        <f t="shared" si="4"/>
        <v>9206698.8752504438</v>
      </c>
      <c r="H21" s="16">
        <f t="shared" si="4"/>
        <v>9729921.6870902609</v>
      </c>
      <c r="J21" s="111"/>
      <c r="K21" s="111"/>
    </row>
    <row r="22" spans="1:11" ht="14.25" customHeight="1">
      <c r="A22" s="11" t="s">
        <v>38</v>
      </c>
      <c r="B22" s="12">
        <v>3759026</v>
      </c>
      <c r="C22" s="16">
        <v>3334323</v>
      </c>
      <c r="D22" s="14">
        <v>2618084</v>
      </c>
      <c r="E22" s="14">
        <v>2618084</v>
      </c>
      <c r="F22" s="14">
        <v>2618084</v>
      </c>
      <c r="G22" s="14">
        <v>2618084</v>
      </c>
      <c r="H22" s="14">
        <v>2618084</v>
      </c>
      <c r="J22" s="111"/>
      <c r="K22" s="111"/>
    </row>
    <row r="23" spans="1:11" ht="14.25" customHeight="1">
      <c r="A23" s="11" t="s">
        <v>39</v>
      </c>
      <c r="B23" s="12">
        <v>10360058</v>
      </c>
      <c r="C23" s="16">
        <v>14759260</v>
      </c>
      <c r="D23" s="16">
        <v>15809095</v>
      </c>
      <c r="E23" s="16">
        <f>Schedules!E25</f>
        <v>15309095</v>
      </c>
      <c r="F23" s="16">
        <f>Schedules!F25</f>
        <v>14609095</v>
      </c>
      <c r="G23" s="16">
        <f>Schedules!G25</f>
        <v>14609095</v>
      </c>
      <c r="H23" s="16">
        <f>Schedules!H25</f>
        <v>14209095</v>
      </c>
      <c r="J23" s="111"/>
      <c r="K23" s="111"/>
    </row>
    <row r="24" spans="1:11" ht="14.25" customHeight="1">
      <c r="A24" s="11" t="s">
        <v>40</v>
      </c>
      <c r="B24" s="12">
        <v>129231</v>
      </c>
      <c r="C24" s="14">
        <v>1444276</v>
      </c>
      <c r="D24" s="14">
        <v>1982155</v>
      </c>
      <c r="E24" s="14">
        <v>1982155</v>
      </c>
      <c r="F24" s="14">
        <v>1982155</v>
      </c>
      <c r="G24" s="14">
        <v>1982155</v>
      </c>
      <c r="H24" s="14">
        <v>1982155</v>
      </c>
      <c r="J24" s="111"/>
      <c r="K24" s="111"/>
    </row>
    <row r="25" spans="1:11" ht="14.25" customHeight="1">
      <c r="A25" s="10" t="s">
        <v>41</v>
      </c>
      <c r="B25" s="15">
        <f t="shared" ref="B25:H25" si="5">SUM(B21:B24)</f>
        <v>20735635</v>
      </c>
      <c r="C25" s="16">
        <f t="shared" si="5"/>
        <v>26393555</v>
      </c>
      <c r="D25" s="16">
        <f t="shared" si="5"/>
        <v>28215119</v>
      </c>
      <c r="E25" s="16">
        <f t="shared" si="5"/>
        <v>28037728.113988675</v>
      </c>
      <c r="F25" s="16">
        <f t="shared" si="5"/>
        <v>27893170.658634931</v>
      </c>
      <c r="G25" s="16">
        <f t="shared" si="5"/>
        <v>28416032.875250444</v>
      </c>
      <c r="H25" s="16">
        <f>SUM(H21:H24)</f>
        <v>28539255.687090263</v>
      </c>
    </row>
    <row r="26" spans="1:11" ht="14.25" customHeight="1">
      <c r="A26" s="11" t="s">
        <v>42</v>
      </c>
      <c r="B26" s="11"/>
      <c r="C26" s="16"/>
      <c r="D26" s="16"/>
      <c r="E26" s="16"/>
      <c r="F26" s="16"/>
      <c r="G26" s="16"/>
      <c r="H26" s="16"/>
    </row>
    <row r="27" spans="1:11" ht="14.25" customHeight="1">
      <c r="A27" s="11" t="s">
        <v>43</v>
      </c>
      <c r="B27" s="16">
        <v>2315988</v>
      </c>
      <c r="C27" s="16">
        <v>2793929</v>
      </c>
      <c r="D27" s="16">
        <v>3447698</v>
      </c>
      <c r="E27" s="16">
        <v>3447698</v>
      </c>
      <c r="F27" s="16">
        <v>3447698</v>
      </c>
      <c r="G27" s="16">
        <v>3447698</v>
      </c>
      <c r="H27" s="16">
        <v>3447698</v>
      </c>
      <c r="K27" s="111"/>
    </row>
    <row r="28" spans="1:11" ht="14.25" customHeight="1">
      <c r="A28" s="11" t="s">
        <v>44</v>
      </c>
      <c r="B28" s="22"/>
      <c r="C28" s="16">
        <v>0</v>
      </c>
      <c r="D28" s="16">
        <v>0</v>
      </c>
      <c r="E28" s="16">
        <v>0</v>
      </c>
      <c r="F28" s="16">
        <v>0</v>
      </c>
      <c r="G28" s="16">
        <v>0</v>
      </c>
      <c r="H28" s="16">
        <v>0</v>
      </c>
      <c r="K28" s="111"/>
    </row>
    <row r="29" spans="1:11" ht="14.25" customHeight="1">
      <c r="A29" s="11" t="s">
        <v>45</v>
      </c>
      <c r="B29" s="16">
        <v>-19582</v>
      </c>
      <c r="C29" s="16">
        <v>-23521</v>
      </c>
      <c r="D29" s="16">
        <v>44398</v>
      </c>
      <c r="E29" s="16">
        <v>44398</v>
      </c>
      <c r="F29" s="16">
        <v>44398</v>
      </c>
      <c r="G29" s="16">
        <v>44398</v>
      </c>
      <c r="H29" s="16">
        <v>44398</v>
      </c>
      <c r="K29" s="111"/>
    </row>
    <row r="30" spans="1:11" ht="14.25" customHeight="1">
      <c r="A30" s="11" t="s">
        <v>46</v>
      </c>
      <c r="B30" s="12">
        <v>2942359</v>
      </c>
      <c r="C30" s="14">
        <v>4811749</v>
      </c>
      <c r="D30" s="14">
        <v>7573144</v>
      </c>
      <c r="E30" s="14">
        <f>D30+'P&amp;L'!E21</f>
        <v>10348980.383001614</v>
      </c>
      <c r="F30" s="14">
        <f>E30+'P&amp;L'!F21</f>
        <v>13742838.543196302</v>
      </c>
      <c r="G30" s="14">
        <f>F30+'P&amp;L'!G21</f>
        <v>17696559.018166106</v>
      </c>
      <c r="H30" s="14">
        <f>G30+'P&amp;L'!H21</f>
        <v>22230168.408147287</v>
      </c>
      <c r="K30" s="111"/>
    </row>
    <row r="31" spans="1:11" ht="14.25" customHeight="1">
      <c r="A31" s="10" t="s">
        <v>47</v>
      </c>
      <c r="B31" s="23">
        <f t="shared" ref="B31:H31" si="6">SUM(B27:B30)</f>
        <v>5238765</v>
      </c>
      <c r="C31" s="16">
        <f t="shared" si="6"/>
        <v>7582157</v>
      </c>
      <c r="D31" s="16">
        <f t="shared" si="6"/>
        <v>11065240</v>
      </c>
      <c r="E31" s="16">
        <f t="shared" si="6"/>
        <v>13841076.383001614</v>
      </c>
      <c r="F31" s="16">
        <f t="shared" si="6"/>
        <v>17234934.543196302</v>
      </c>
      <c r="G31" s="16">
        <f t="shared" si="6"/>
        <v>21188655.018166106</v>
      </c>
      <c r="H31" s="16">
        <f>SUM(H27:H30)</f>
        <v>25722264.408147287</v>
      </c>
      <c r="K31" s="111"/>
    </row>
    <row r="32" spans="1:11" ht="14.25" customHeight="1">
      <c r="A32" s="10" t="s">
        <v>48</v>
      </c>
      <c r="B32" s="18">
        <f t="shared" ref="B32:F32" si="7">B25+B31</f>
        <v>25974400</v>
      </c>
      <c r="C32" s="18">
        <f t="shared" si="7"/>
        <v>33975712</v>
      </c>
      <c r="D32" s="18">
        <f t="shared" si="7"/>
        <v>39280359</v>
      </c>
      <c r="E32" s="18">
        <f t="shared" si="7"/>
        <v>41878804.496990293</v>
      </c>
      <c r="F32" s="18">
        <f t="shared" si="7"/>
        <v>45128105.201831236</v>
      </c>
      <c r="G32" s="18">
        <f t="shared" ref="G32:H32" si="8">ROUND(G25+G31,3)</f>
        <v>49604687.892999999</v>
      </c>
      <c r="H32" s="18">
        <f>H25+H31</f>
        <v>54261520.095237553</v>
      </c>
      <c r="K32" s="111"/>
    </row>
    <row r="33" spans="1:11" ht="14.25" customHeight="1">
      <c r="K33" s="111"/>
    </row>
    <row r="34" spans="1:11" ht="14.25" customHeight="1">
      <c r="K34" s="111"/>
    </row>
    <row r="35" spans="1:11" ht="14.25" customHeight="1">
      <c r="A35" t="s">
        <v>97</v>
      </c>
      <c r="B35" t="b">
        <f t="shared" ref="B35:H35" si="9">B32=B12</f>
        <v>1</v>
      </c>
      <c r="C35" t="b">
        <f t="shared" si="9"/>
        <v>1</v>
      </c>
      <c r="D35" t="b">
        <f t="shared" si="9"/>
        <v>1</v>
      </c>
      <c r="E35" t="b">
        <f t="shared" si="9"/>
        <v>1</v>
      </c>
      <c r="F35" t="b">
        <f t="shared" si="9"/>
        <v>1</v>
      </c>
      <c r="G35" t="b">
        <f t="shared" si="9"/>
        <v>1</v>
      </c>
      <c r="H35" t="b">
        <f t="shared" si="9"/>
        <v>0</v>
      </c>
      <c r="K35" s="111"/>
    </row>
    <row r="36" spans="1:11" ht="14.25" customHeight="1">
      <c r="B36" s="111">
        <f>B12-B32</f>
        <v>0</v>
      </c>
      <c r="C36" s="111">
        <f t="shared" ref="C36:H36" si="10">C12-C32</f>
        <v>0</v>
      </c>
      <c r="D36" s="111">
        <f t="shared" si="10"/>
        <v>0</v>
      </c>
      <c r="E36" s="111">
        <f t="shared" si="10"/>
        <v>0</v>
      </c>
      <c r="F36" s="111">
        <f t="shared" si="10"/>
        <v>0</v>
      </c>
      <c r="G36" s="111">
        <f t="shared" si="10"/>
        <v>0</v>
      </c>
      <c r="H36" s="111">
        <f t="shared" si="10"/>
        <v>-2.3755431175231934E-4</v>
      </c>
    </row>
    <row r="37" spans="1:11" ht="14.25" customHeight="1"/>
    <row r="38" spans="1:11" ht="14.25" customHeight="1"/>
    <row r="39" spans="1:11" ht="14.25" customHeight="1"/>
    <row r="40" spans="1:11" ht="14.25" customHeight="1"/>
    <row r="41" spans="1:11" ht="14.25" customHeight="1"/>
    <row r="42" spans="1:11" ht="14.25" customHeight="1"/>
    <row r="43" spans="1:11" ht="14.25" customHeight="1"/>
    <row r="44" spans="1:11" ht="14.25" customHeight="1"/>
    <row r="45" spans="1:11" ht="14.25" customHeight="1"/>
    <row r="46" spans="1:11" ht="14.25" customHeight="1"/>
    <row r="47" spans="1:11" ht="14.25" customHeight="1"/>
    <row r="48" spans="1: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1">
    <mergeCell ref="A1:H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
  <sheetViews>
    <sheetView topLeftCell="A9" zoomScale="80" zoomScaleNormal="80" workbookViewId="0">
      <selection activeCell="E12" sqref="E12"/>
    </sheetView>
  </sheetViews>
  <sheetFormatPr defaultColWidth="14.453125" defaultRowHeight="15" customHeight="1"/>
  <cols>
    <col min="1" max="1" width="30.7265625" customWidth="1"/>
    <col min="2" max="4" width="12.6328125" bestFit="1" customWidth="1"/>
    <col min="5" max="8" width="12.81640625" bestFit="1" customWidth="1"/>
    <col min="9" max="11" width="8.7265625" customWidth="1"/>
  </cols>
  <sheetData>
    <row r="1" spans="1:11" ht="14.25" customHeight="1">
      <c r="A1" s="88" t="s">
        <v>98</v>
      </c>
      <c r="B1" s="89"/>
      <c r="C1" s="89"/>
      <c r="D1" s="89"/>
      <c r="E1" s="89"/>
      <c r="F1" s="89"/>
      <c r="G1" s="89"/>
      <c r="H1" s="89"/>
      <c r="I1" s="89"/>
      <c r="J1" s="89"/>
      <c r="K1" s="89"/>
    </row>
    <row r="2" spans="1:11" ht="14.25" customHeight="1">
      <c r="A2" s="25"/>
    </row>
    <row r="3" spans="1:11" ht="14.25" customHeight="1">
      <c r="A3" s="2" t="s">
        <v>1</v>
      </c>
      <c r="B3" s="3" t="s">
        <v>2</v>
      </c>
      <c r="C3" s="3" t="s">
        <v>3</v>
      </c>
      <c r="D3" s="3" t="s">
        <v>4</v>
      </c>
      <c r="E3" s="59" t="s">
        <v>61</v>
      </c>
      <c r="F3" s="59" t="s">
        <v>62</v>
      </c>
      <c r="G3" s="59" t="s">
        <v>63</v>
      </c>
      <c r="H3" s="59" t="s">
        <v>64</v>
      </c>
    </row>
    <row r="4" spans="1:11" ht="14.25" customHeight="1">
      <c r="A4" s="25" t="s">
        <v>99</v>
      </c>
      <c r="B4" s="105"/>
      <c r="C4" s="105"/>
      <c r="D4" s="105"/>
      <c r="E4" s="44">
        <f>'P&amp;L'!E15</f>
        <v>3912365.5774570038</v>
      </c>
      <c r="F4" s="44">
        <f>'P&amp;L'!F15</f>
        <v>4596567.6395901954</v>
      </c>
      <c r="G4" s="44">
        <f>'P&amp;L'!G15</f>
        <v>5245223.4591717664</v>
      </c>
      <c r="H4" s="44">
        <f>'P&amp;L'!H15</f>
        <v>5898889.3643994136</v>
      </c>
    </row>
    <row r="5" spans="1:11" ht="14.25" customHeight="1">
      <c r="A5" s="25" t="s">
        <v>100</v>
      </c>
      <c r="B5" s="105"/>
      <c r="C5" s="105"/>
      <c r="D5" s="105"/>
      <c r="E5" s="44">
        <f>E4*E6</f>
        <v>-535557.75068915728</v>
      </c>
      <c r="F5" s="44">
        <f t="shared" ref="F5:H5" si="0">F4*F6</f>
        <v>-629217.1263682344</v>
      </c>
      <c r="G5" s="44">
        <f t="shared" si="0"/>
        <v>-718010.63117468951</v>
      </c>
      <c r="H5" s="44">
        <f t="shared" si="0"/>
        <v>-807489.95895608154</v>
      </c>
    </row>
    <row r="6" spans="1:11" ht="14.25" customHeight="1">
      <c r="A6" s="69" t="s">
        <v>101</v>
      </c>
      <c r="B6" s="107"/>
      <c r="C6" s="107"/>
      <c r="D6" s="107"/>
      <c r="E6" s="108">
        <f>'P&amp;L'!E20</f>
        <v>-0.13688847324877654</v>
      </c>
      <c r="F6" s="108">
        <f>'P&amp;L'!F20</f>
        <v>-0.13688847324877654</v>
      </c>
      <c r="G6" s="108">
        <f>'P&amp;L'!G20</f>
        <v>-0.13688847324877654</v>
      </c>
      <c r="H6" s="108">
        <f>'P&amp;L'!H20</f>
        <v>-0.13688847324877654</v>
      </c>
    </row>
    <row r="7" spans="1:11" ht="14.25" customHeight="1">
      <c r="A7" s="30" t="s">
        <v>102</v>
      </c>
      <c r="B7" s="105"/>
      <c r="C7" s="105"/>
      <c r="D7" s="105"/>
      <c r="E7" s="44">
        <f>E4+E5</f>
        <v>3376807.8267678465</v>
      </c>
      <c r="F7" s="44">
        <f t="shared" ref="F7:H7" si="1">F4+F5</f>
        <v>3967350.513221961</v>
      </c>
      <c r="G7" s="44">
        <f t="shared" si="1"/>
        <v>4527212.8279970773</v>
      </c>
      <c r="H7" s="44">
        <f t="shared" si="1"/>
        <v>5091399.4054433322</v>
      </c>
    </row>
    <row r="8" spans="1:11" ht="14.25" customHeight="1">
      <c r="A8" s="25" t="s">
        <v>103</v>
      </c>
      <c r="B8" s="105"/>
      <c r="C8" s="105"/>
      <c r="D8" s="105"/>
      <c r="E8" s="44">
        <f>Schedules!E16</f>
        <v>10579850.30949006</v>
      </c>
      <c r="F8" s="44">
        <f>Schedules!F16</f>
        <v>10895629.69539175</v>
      </c>
      <c r="G8" s="44">
        <f>Schedules!G16</f>
        <v>11121285.624228006</v>
      </c>
      <c r="H8" s="44">
        <f>Schedules!H16</f>
        <v>11282539.33644723</v>
      </c>
      <c r="J8" s="106">
        <f>230077-F12</f>
        <v>5.6750746443867683E-4</v>
      </c>
    </row>
    <row r="9" spans="1:11" ht="14.25" customHeight="1">
      <c r="A9" s="60" t="s">
        <v>104</v>
      </c>
      <c r="B9" s="109"/>
      <c r="C9" s="109"/>
      <c r="D9" s="109"/>
      <c r="E9" s="99">
        <f>Schedules!E6</f>
        <v>186714.86806745233</v>
      </c>
      <c r="F9" s="99">
        <f>Schedules!F6</f>
        <v>214240.79180566277</v>
      </c>
      <c r="G9" s="99">
        <f>Schedules!G6</f>
        <v>235565.4695895089</v>
      </c>
      <c r="H9" s="99">
        <f>Schedules!H6</f>
        <v>252342.11800147456</v>
      </c>
    </row>
    <row r="10" spans="1:11" ht="14.25" customHeight="1">
      <c r="A10" s="30" t="s">
        <v>105</v>
      </c>
      <c r="B10" s="105"/>
      <c r="C10" s="105"/>
      <c r="D10" s="105"/>
      <c r="E10" s="44">
        <f t="shared" ref="C10:H10" si="2">E7+E8+E9</f>
        <v>14143373.00432536</v>
      </c>
      <c r="F10" s="44">
        <f t="shared" si="2"/>
        <v>15077221.000419373</v>
      </c>
      <c r="G10" s="44">
        <f t="shared" si="2"/>
        <v>15884063.921814593</v>
      </c>
      <c r="H10" s="44">
        <f t="shared" si="2"/>
        <v>16626280.859892035</v>
      </c>
    </row>
    <row r="11" spans="1:11" ht="14.25" customHeight="1">
      <c r="A11" s="25" t="s">
        <v>106</v>
      </c>
      <c r="B11" s="105"/>
      <c r="C11" s="105"/>
      <c r="D11" s="105"/>
      <c r="E11" s="44">
        <f>'Balance Sheet'!E17-'Balance Sheet'!D17</f>
        <v>106029.8545602411</v>
      </c>
      <c r="F11" s="44">
        <f>'Balance Sheet'!F17-'Balance Sheet'!E17</f>
        <v>132343.88224162906</v>
      </c>
      <c r="G11" s="44">
        <f>'Balance Sheet'!G17-'Balance Sheet'!F17</f>
        <v>124581.05035585584</v>
      </c>
      <c r="H11" s="44">
        <f>'Balance Sheet'!H17-'Balance Sheet'!G17</f>
        <v>124666.96846271004</v>
      </c>
    </row>
    <row r="12" spans="1:11" ht="14.25" customHeight="1">
      <c r="A12" s="25" t="s">
        <v>73</v>
      </c>
      <c r="B12" s="105"/>
      <c r="C12" s="105"/>
      <c r="D12" s="105"/>
      <c r="E12" s="44">
        <f>'Other Items'!E25-'Other Items'!D25</f>
        <v>207098.69203451904</v>
      </c>
      <c r="F12" s="44">
        <f>'Other Items'!F25-'Other Items'!E25</f>
        <v>230076.99943249254</v>
      </c>
      <c r="G12" s="44">
        <f>'Other Items'!G25-'Other Items'!F25</f>
        <v>216581.48277448257</v>
      </c>
      <c r="H12" s="44">
        <f>'Other Items'!H25-'Other Items'!G25</f>
        <v>216730.84955961187</v>
      </c>
    </row>
    <row r="13" spans="1:11" ht="14.25" customHeight="1">
      <c r="A13" s="25" t="s">
        <v>107</v>
      </c>
      <c r="B13" s="105"/>
      <c r="C13" s="105"/>
      <c r="D13" s="105"/>
      <c r="E13" s="44">
        <f>'Balance Sheet'!E16-'Balance Sheet'!D16</f>
        <v>0</v>
      </c>
      <c r="F13" s="44">
        <f>'Balance Sheet'!F16-'Balance Sheet'!E16</f>
        <v>0</v>
      </c>
      <c r="G13" s="44">
        <f>'Balance Sheet'!G16-'Balance Sheet'!F16</f>
        <v>0</v>
      </c>
      <c r="H13" s="44">
        <f>'Balance Sheet'!H16-'Balance Sheet'!G16</f>
        <v>0</v>
      </c>
    </row>
    <row r="14" spans="1:11" ht="14.25" customHeight="1">
      <c r="A14" s="11" t="s">
        <v>108</v>
      </c>
      <c r="B14" s="105"/>
      <c r="C14" s="105"/>
      <c r="D14" s="105"/>
      <c r="E14" s="44">
        <f>'Balance Sheet'!E18-'Balance Sheet'!D18</f>
        <v>9480.5673939133994</v>
      </c>
      <c r="F14" s="44">
        <f>'Balance Sheet'!F18-'Balance Sheet'!E18</f>
        <v>193021.66297213826</v>
      </c>
      <c r="G14" s="44">
        <f>'Balance Sheet'!G18-'Balance Sheet'!F18</f>
        <v>181699.68348517292</v>
      </c>
      <c r="H14" s="44">
        <f>'Balance Sheet'!H18-'Balance Sheet'!G18</f>
        <v>181824.99381749448</v>
      </c>
    </row>
    <row r="15" spans="1:11" ht="14.25" customHeight="1">
      <c r="A15" s="60" t="s">
        <v>109</v>
      </c>
      <c r="B15" s="109"/>
      <c r="C15" s="109"/>
      <c r="D15" s="109"/>
      <c r="E15" s="99">
        <f>-('Balance Sheet'!E7-'Balance Sheet'!D7)</f>
        <v>-227107.35170919797</v>
      </c>
      <c r="F15" s="99">
        <f>-('Balance Sheet'!F7-'Balance Sheet'!E7)</f>
        <v>-309608.16034965101</v>
      </c>
      <c r="G15" s="99">
        <f>-('Balance Sheet'!G7-'Balance Sheet'!F7)</f>
        <v>-291447.6223742743</v>
      </c>
      <c r="H15" s="99">
        <f>-('Balance Sheet'!H7-'Balance Sheet'!G7)</f>
        <v>-291648.62106460519</v>
      </c>
    </row>
    <row r="16" spans="1:11" ht="14.25" customHeight="1">
      <c r="A16" s="30" t="s">
        <v>110</v>
      </c>
      <c r="B16" s="105"/>
      <c r="C16" s="105"/>
      <c r="D16" s="105"/>
      <c r="E16" s="44">
        <f>SUM(E11:E15)</f>
        <v>95501.762279475573</v>
      </c>
      <c r="F16" s="44">
        <f t="shared" ref="F16:H16" si="3">SUM(F11:F15)</f>
        <v>245834.38429660886</v>
      </c>
      <c r="G16" s="44">
        <f t="shared" si="3"/>
        <v>231414.59424123704</v>
      </c>
      <c r="H16" s="44">
        <f t="shared" si="3"/>
        <v>231574.1907752112</v>
      </c>
    </row>
    <row r="17" spans="1:8" ht="14.25" customHeight="1">
      <c r="A17" s="25" t="s">
        <v>80</v>
      </c>
      <c r="B17" s="105"/>
      <c r="C17" s="105"/>
      <c r="D17" s="105"/>
      <c r="E17" s="44">
        <f>Schedules!E15</f>
        <v>11686295</v>
      </c>
      <c r="F17" s="44">
        <f>Schedules!F15</f>
        <v>11686295</v>
      </c>
      <c r="G17" s="44">
        <f>Schedules!G15</f>
        <v>11686295</v>
      </c>
      <c r="H17" s="44">
        <f>Schedules!H15</f>
        <v>11686295</v>
      </c>
    </row>
    <row r="18" spans="1:8" ht="14.25" customHeight="1">
      <c r="A18" s="60" t="s">
        <v>74</v>
      </c>
      <c r="B18" s="109"/>
      <c r="C18" s="109"/>
      <c r="D18" s="109"/>
      <c r="E18" s="99">
        <f>Schedules!E5</f>
        <v>510672</v>
      </c>
      <c r="F18" s="99">
        <f>Schedules!F5</f>
        <v>510672</v>
      </c>
      <c r="G18" s="99">
        <f>Schedules!G5</f>
        <v>510672</v>
      </c>
      <c r="H18" s="99">
        <f>Schedules!H5</f>
        <v>510672</v>
      </c>
    </row>
    <row r="19" spans="1:8" ht="14.25" customHeight="1">
      <c r="A19" s="30" t="s">
        <v>111</v>
      </c>
      <c r="B19" s="105"/>
      <c r="C19" s="105"/>
      <c r="D19" s="105"/>
      <c r="E19" s="44">
        <f>-(E17+E18)</f>
        <v>-12196967</v>
      </c>
      <c r="F19" s="44">
        <f t="shared" ref="F19:H19" si="4">-(F17+F18)</f>
        <v>-12196967</v>
      </c>
      <c r="G19" s="44">
        <f t="shared" si="4"/>
        <v>-12196967</v>
      </c>
      <c r="H19" s="44">
        <f t="shared" si="4"/>
        <v>-12196967</v>
      </c>
    </row>
    <row r="20" spans="1:8" ht="14.25" customHeight="1">
      <c r="A20" s="70" t="s">
        <v>112</v>
      </c>
      <c r="B20" s="105"/>
      <c r="C20" s="105"/>
      <c r="D20" s="105"/>
      <c r="E20" s="44"/>
      <c r="F20" s="44"/>
      <c r="G20" s="44"/>
      <c r="H20" s="44"/>
    </row>
    <row r="21" spans="1:8" ht="14.25" customHeight="1">
      <c r="A21" s="102" t="s">
        <v>113</v>
      </c>
      <c r="B21" s="103"/>
      <c r="C21" s="103"/>
      <c r="D21" s="103"/>
      <c r="E21" s="104">
        <f>E19+E16+E10</f>
        <v>2041907.7666048352</v>
      </c>
      <c r="F21" s="104">
        <f t="shared" ref="E21:H21" si="5">F19+F16+F10</f>
        <v>3126088.3847159818</v>
      </c>
      <c r="G21" s="104">
        <f t="shared" si="5"/>
        <v>3918511.5160558298</v>
      </c>
      <c r="H21" s="104">
        <f t="shared" si="5"/>
        <v>4660888.0506672468</v>
      </c>
    </row>
    <row r="22" spans="1:8" ht="14.25" customHeight="1">
      <c r="A22" s="1" t="s">
        <v>114</v>
      </c>
      <c r="B22" s="105"/>
      <c r="C22" s="105"/>
      <c r="D22" s="105"/>
      <c r="E22" s="44">
        <f>Schedules!E24</f>
        <v>-500000</v>
      </c>
      <c r="F22" s="44">
        <f>Schedules!F24</f>
        <v>-700000</v>
      </c>
      <c r="G22" s="44">
        <f>Schedules!G24</f>
        <v>0</v>
      </c>
      <c r="H22" s="44">
        <f>Schedules!H24</f>
        <v>-400000</v>
      </c>
    </row>
    <row r="23" spans="1:8" ht="14.25" customHeight="1">
      <c r="A23" s="71" t="s">
        <v>87</v>
      </c>
      <c r="B23" s="105"/>
      <c r="C23" s="105"/>
      <c r="D23" s="105"/>
      <c r="E23" s="44">
        <f>Schedules!E27</f>
        <v>-696284.80809230579</v>
      </c>
      <c r="F23" s="44">
        <f>Schedules!F27</f>
        <v>-664447.56587357156</v>
      </c>
      <c r="G23" s="44">
        <f>Schedules!G27</f>
        <v>-664447.56587357156</v>
      </c>
      <c r="H23" s="44">
        <f>Schedules!H27</f>
        <v>-646254.85603429482</v>
      </c>
    </row>
    <row r="24" spans="1:8" ht="14.25" customHeight="1">
      <c r="A24" s="71" t="s">
        <v>115</v>
      </c>
      <c r="B24" s="105"/>
      <c r="C24" s="105"/>
      <c r="D24" s="105"/>
      <c r="E24" s="110">
        <f>'P&amp;L'!E19-E5</f>
        <v>95313.364326073148</v>
      </c>
      <c r="F24" s="110">
        <f>'P&amp;L'!F19-F5</f>
        <v>90955.212846299168</v>
      </c>
      <c r="G24" s="110">
        <f>'P&amp;L'!G19-G5</f>
        <v>90955.212846299168</v>
      </c>
      <c r="H24" s="110">
        <f>'P&amp;L'!H19-H5</f>
        <v>88464.840572142508</v>
      </c>
    </row>
    <row r="25" spans="1:8" ht="14.25" customHeight="1">
      <c r="A25" s="72" t="s">
        <v>116</v>
      </c>
      <c r="B25" s="105"/>
      <c r="C25" s="105"/>
      <c r="D25" s="105"/>
      <c r="E25" s="44">
        <f t="shared" ref="E25:H25" si="6">SUM(E21:E24)</f>
        <v>940936.32283860259</v>
      </c>
      <c r="F25" s="44">
        <f t="shared" si="6"/>
        <v>1852596.0316887093</v>
      </c>
      <c r="G25" s="44">
        <f t="shared" si="6"/>
        <v>3345019.1630285573</v>
      </c>
      <c r="H25" s="44">
        <f t="shared" si="6"/>
        <v>3703098.0352050946</v>
      </c>
    </row>
    <row r="26" spans="1:8" ht="14.25" customHeight="1">
      <c r="A26" s="73"/>
      <c r="B26" s="105"/>
      <c r="C26" s="105"/>
      <c r="D26" s="105"/>
      <c r="E26" s="44"/>
      <c r="F26" s="44"/>
      <c r="G26" s="44"/>
      <c r="H26" s="44"/>
    </row>
    <row r="27" spans="1:8" ht="14.25" customHeight="1">
      <c r="A27" s="71"/>
      <c r="B27" s="105"/>
      <c r="C27" s="105"/>
      <c r="D27" s="105"/>
      <c r="E27" s="44"/>
      <c r="F27" s="44"/>
      <c r="G27" s="44"/>
      <c r="H27" s="44"/>
    </row>
    <row r="28" spans="1:8" ht="14.25" customHeight="1">
      <c r="A28" s="25" t="s">
        <v>117</v>
      </c>
      <c r="B28" s="105"/>
      <c r="C28" s="105"/>
      <c r="D28" s="105"/>
      <c r="E28" s="44">
        <f>'Balance Sheet'!D6</f>
        <v>8205550</v>
      </c>
      <c r="F28" s="44">
        <f t="shared" ref="E28:H28" si="7">E29</f>
        <v>9146486.3228386026</v>
      </c>
      <c r="G28" s="44">
        <f t="shared" si="7"/>
        <v>10999082.354527311</v>
      </c>
      <c r="H28" s="44">
        <f t="shared" si="7"/>
        <v>14344101.517555868</v>
      </c>
    </row>
    <row r="29" spans="1:8" ht="14.25" customHeight="1">
      <c r="A29" s="25" t="s">
        <v>118</v>
      </c>
      <c r="B29" s="105"/>
      <c r="C29" s="105"/>
      <c r="D29" s="105"/>
      <c r="E29" s="110">
        <f>E28+E25</f>
        <v>9146486.3228386026</v>
      </c>
      <c r="F29" s="110">
        <f t="shared" ref="E29:H29" si="8">F28+F25</f>
        <v>10999082.354527311</v>
      </c>
      <c r="G29" s="110">
        <f t="shared" si="8"/>
        <v>14344101.517555868</v>
      </c>
      <c r="H29" s="110">
        <f t="shared" si="8"/>
        <v>18047199.552760962</v>
      </c>
    </row>
    <row r="30" spans="1:8" ht="14.25" customHeight="1">
      <c r="A30" s="71"/>
    </row>
    <row r="31" spans="1:8" ht="14.25" customHeight="1">
      <c r="A31" s="71"/>
      <c r="B31" s="106"/>
    </row>
    <row r="32" spans="1:8" ht="14.25" customHeight="1">
      <c r="A32" s="25"/>
    </row>
    <row r="33" spans="1:1" ht="14.25" customHeight="1">
      <c r="A33" s="25"/>
    </row>
    <row r="34" spans="1:1" ht="14.25" customHeight="1">
      <c r="A34" s="25"/>
    </row>
    <row r="35" spans="1:1" ht="14.25" customHeight="1">
      <c r="A35" s="25"/>
    </row>
    <row r="36" spans="1:1" ht="14.25" customHeight="1">
      <c r="A36" s="25"/>
    </row>
    <row r="37" spans="1:1" ht="14.25" customHeight="1">
      <c r="A37" s="25"/>
    </row>
    <row r="38" spans="1:1" ht="14.25" customHeight="1">
      <c r="A38" s="25"/>
    </row>
    <row r="39" spans="1:1" ht="14.25" customHeight="1">
      <c r="A39" s="25"/>
    </row>
    <row r="40" spans="1:1" ht="14.25" customHeight="1">
      <c r="A40" s="25"/>
    </row>
    <row r="41" spans="1:1" ht="14.25" customHeight="1">
      <c r="A41" s="25"/>
    </row>
    <row r="42" spans="1:1" ht="14.25" customHeight="1">
      <c r="A42" s="25"/>
    </row>
    <row r="43" spans="1:1" ht="14.25" customHeight="1">
      <c r="A43" s="25"/>
    </row>
    <row r="44" spans="1:1" ht="14.25" customHeight="1">
      <c r="A44" s="25"/>
    </row>
    <row r="45" spans="1:1" ht="14.25" customHeight="1">
      <c r="A45" s="25"/>
    </row>
    <row r="46" spans="1:1" ht="14.25" customHeight="1">
      <c r="A46" s="25"/>
    </row>
    <row r="47" spans="1:1" ht="14.25" customHeight="1">
      <c r="A47" s="25"/>
    </row>
    <row r="48" spans="1:1" ht="14.25" customHeight="1">
      <c r="A48" s="25"/>
    </row>
    <row r="49" spans="1:1" ht="14.25" customHeight="1">
      <c r="A49" s="25"/>
    </row>
    <row r="50" spans="1:1" ht="14.25" customHeight="1">
      <c r="A50" s="25"/>
    </row>
    <row r="51" spans="1:1" ht="14.25" customHeight="1">
      <c r="A51" s="25"/>
    </row>
    <row r="52" spans="1:1" ht="14.25" customHeight="1">
      <c r="A52" s="25"/>
    </row>
    <row r="53" spans="1:1" ht="14.25" customHeight="1">
      <c r="A53" s="25"/>
    </row>
    <row r="54" spans="1:1" ht="14.25" customHeight="1">
      <c r="A54" s="25"/>
    </row>
    <row r="55" spans="1:1" ht="14.25" customHeight="1">
      <c r="A55" s="25"/>
    </row>
    <row r="56" spans="1:1" ht="14.25" customHeight="1">
      <c r="A56" s="25"/>
    </row>
    <row r="57" spans="1:1" ht="14.25" customHeight="1">
      <c r="A57" s="25"/>
    </row>
    <row r="58" spans="1:1" ht="14.25" customHeight="1">
      <c r="A58" s="25"/>
    </row>
    <row r="59" spans="1:1" ht="14.25" customHeight="1">
      <c r="A59" s="25"/>
    </row>
    <row r="60" spans="1:1" ht="14.25" customHeight="1">
      <c r="A60" s="25"/>
    </row>
    <row r="61" spans="1:1" ht="14.25" customHeight="1">
      <c r="A61" s="25"/>
    </row>
    <row r="62" spans="1:1" ht="14.25" customHeight="1">
      <c r="A62" s="25"/>
    </row>
    <row r="63" spans="1:1" ht="14.25" customHeight="1">
      <c r="A63" s="25"/>
    </row>
    <row r="64" spans="1:1" ht="14.25" customHeight="1">
      <c r="A64" s="25"/>
    </row>
    <row r="65" spans="1:1" ht="14.25" customHeight="1">
      <c r="A65" s="25"/>
    </row>
    <row r="66" spans="1:1" ht="14.25" customHeight="1">
      <c r="A66" s="25"/>
    </row>
    <row r="67" spans="1:1" ht="14.25" customHeight="1">
      <c r="A67" s="25"/>
    </row>
    <row r="68" spans="1:1" ht="14.25" customHeight="1">
      <c r="A68" s="25"/>
    </row>
    <row r="69" spans="1:1" ht="14.25" customHeight="1">
      <c r="A69" s="25"/>
    </row>
    <row r="70" spans="1:1" ht="14.25" customHeight="1">
      <c r="A70" s="25"/>
    </row>
    <row r="71" spans="1:1" ht="14.25" customHeight="1">
      <c r="A71" s="25"/>
    </row>
    <row r="72" spans="1:1" ht="14.25" customHeight="1">
      <c r="A72" s="25"/>
    </row>
    <row r="73" spans="1:1" ht="14.25" customHeight="1">
      <c r="A73" s="25"/>
    </row>
    <row r="74" spans="1:1" ht="14.25" customHeight="1">
      <c r="A74" s="25"/>
    </row>
    <row r="75" spans="1:1" ht="14.25" customHeight="1">
      <c r="A75" s="25"/>
    </row>
    <row r="76" spans="1:1" ht="14.25" customHeight="1">
      <c r="A76" s="25"/>
    </row>
    <row r="77" spans="1:1" ht="14.25" customHeight="1">
      <c r="A77" s="25"/>
    </row>
    <row r="78" spans="1:1" ht="14.25" customHeight="1">
      <c r="A78" s="25"/>
    </row>
    <row r="79" spans="1:1" ht="14.25" customHeight="1">
      <c r="A79" s="25"/>
    </row>
    <row r="80" spans="1:1" ht="14.25" customHeight="1">
      <c r="A80" s="25"/>
    </row>
    <row r="81" spans="1:1" ht="14.25" customHeight="1">
      <c r="A81" s="25"/>
    </row>
    <row r="82" spans="1:1" ht="14.25" customHeight="1">
      <c r="A82" s="25"/>
    </row>
    <row r="83" spans="1:1" ht="14.25" customHeight="1">
      <c r="A83" s="25"/>
    </row>
    <row r="84" spans="1:1" ht="14.25" customHeight="1">
      <c r="A84" s="25"/>
    </row>
    <row r="85" spans="1:1" ht="14.25" customHeight="1">
      <c r="A85" s="25"/>
    </row>
    <row r="86" spans="1:1" ht="14.25" customHeight="1">
      <c r="A86" s="25"/>
    </row>
    <row r="87" spans="1:1" ht="14.25" customHeight="1">
      <c r="A87" s="25"/>
    </row>
    <row r="88" spans="1:1" ht="14.25" customHeight="1">
      <c r="A88" s="25"/>
    </row>
    <row r="89" spans="1:1" ht="14.25" customHeight="1">
      <c r="A89" s="25"/>
    </row>
    <row r="90" spans="1:1" ht="14.25" customHeight="1">
      <c r="A90" s="25"/>
    </row>
    <row r="91" spans="1:1" ht="14.25" customHeight="1">
      <c r="A91" s="25"/>
    </row>
    <row r="92" spans="1:1" ht="14.25" customHeight="1">
      <c r="A92" s="25"/>
    </row>
    <row r="93" spans="1:1" ht="14.25" customHeight="1">
      <c r="A93" s="25"/>
    </row>
    <row r="94" spans="1:1" ht="14.25" customHeight="1">
      <c r="A94" s="25"/>
    </row>
    <row r="95" spans="1:1" ht="14.25" customHeight="1">
      <c r="A95" s="25"/>
    </row>
    <row r="96" spans="1:1" ht="14.25" customHeight="1">
      <c r="A96" s="25"/>
    </row>
    <row r="97" spans="1:1" ht="14.25" customHeight="1">
      <c r="A97" s="25"/>
    </row>
    <row r="98" spans="1:1" ht="14.25" customHeight="1">
      <c r="A98" s="25"/>
    </row>
    <row r="99" spans="1:1" ht="14.25" customHeight="1">
      <c r="A99" s="25"/>
    </row>
    <row r="100" spans="1:1" ht="14.25" customHeight="1">
      <c r="A100" s="25"/>
    </row>
  </sheetData>
  <mergeCells count="1">
    <mergeCell ref="A1:K1"/>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
  <sheetViews>
    <sheetView topLeftCell="A11" workbookViewId="0">
      <selection activeCell="B19" sqref="B19"/>
    </sheetView>
  </sheetViews>
  <sheetFormatPr defaultColWidth="14.453125" defaultRowHeight="15" customHeight="1"/>
  <cols>
    <col min="1" max="1" width="18.7265625" customWidth="1"/>
    <col min="2" max="2" width="14.08984375" bestFit="1" customWidth="1"/>
    <col min="3" max="13" width="8.7265625" customWidth="1"/>
  </cols>
  <sheetData>
    <row r="1" spans="1:7" ht="14.25" customHeight="1">
      <c r="A1" s="93" t="s">
        <v>119</v>
      </c>
      <c r="B1" s="89"/>
      <c r="C1" s="89"/>
      <c r="D1" s="89"/>
      <c r="E1" s="89"/>
      <c r="F1" s="89"/>
      <c r="G1" s="89"/>
    </row>
    <row r="2" spans="1:7" ht="14.25" customHeight="1">
      <c r="A2" s="74"/>
      <c r="B2" s="74"/>
      <c r="C2" s="74"/>
      <c r="D2" s="74"/>
      <c r="E2" s="74"/>
    </row>
    <row r="3" spans="1:7" ht="14.25" customHeight="1">
      <c r="A3" s="75" t="s">
        <v>120</v>
      </c>
      <c r="B3" s="76">
        <v>1.67E-2</v>
      </c>
    </row>
    <row r="4" spans="1:7" ht="14.25" customHeight="1">
      <c r="A4" s="77" t="s">
        <v>121</v>
      </c>
      <c r="B4" s="78">
        <v>5.5E-2</v>
      </c>
    </row>
    <row r="5" spans="1:7" ht="14.25" customHeight="1">
      <c r="A5" s="79" t="s">
        <v>122</v>
      </c>
      <c r="B5" s="80">
        <v>1.0580000000000001</v>
      </c>
    </row>
    <row r="6" spans="1:7" ht="14.25" customHeight="1"/>
    <row r="7" spans="1:7" ht="14.25" customHeight="1">
      <c r="A7" s="81" t="s">
        <v>1</v>
      </c>
      <c r="B7" s="82" t="s">
        <v>123</v>
      </c>
    </row>
    <row r="8" spans="1:7" ht="14.25" customHeight="1">
      <c r="A8" s="77"/>
      <c r="B8" s="83"/>
    </row>
    <row r="9" spans="1:7" ht="14.25" customHeight="1">
      <c r="A9" s="77" t="s">
        <v>124</v>
      </c>
      <c r="B9" s="78">
        <f>B3*B5+B4</f>
        <v>7.26686E-2</v>
      </c>
      <c r="D9" s="84" t="s">
        <v>125</v>
      </c>
      <c r="E9" s="84"/>
      <c r="F9" s="84"/>
      <c r="G9" s="84"/>
    </row>
    <row r="10" spans="1:7" ht="14.25" customHeight="1">
      <c r="A10" s="77" t="s">
        <v>126</v>
      </c>
      <c r="B10" s="78">
        <v>4.8750000000000002E-2</v>
      </c>
    </row>
    <row r="11" spans="1:7" ht="14.25" customHeight="1">
      <c r="A11" s="77"/>
      <c r="B11" s="83"/>
    </row>
    <row r="12" spans="1:7" ht="14.25" customHeight="1">
      <c r="A12" s="77" t="s">
        <v>127</v>
      </c>
      <c r="B12" s="85">
        <f>'Balance Sheet'!H31</f>
        <v>25722264.408147287</v>
      </c>
    </row>
    <row r="13" spans="1:7" ht="14.25" customHeight="1">
      <c r="A13" s="77" t="s">
        <v>128</v>
      </c>
      <c r="B13" s="85">
        <f>'Balance Sheet'!H23</f>
        <v>14209095</v>
      </c>
    </row>
    <row r="14" spans="1:7" ht="14.25" customHeight="1">
      <c r="A14" s="77"/>
      <c r="B14" s="83"/>
    </row>
    <row r="15" spans="1:7" ht="14.25" customHeight="1">
      <c r="A15" s="77" t="s">
        <v>129</v>
      </c>
      <c r="B15" s="112">
        <f>B12/(B12+B13)</f>
        <v>0.64416200172987625</v>
      </c>
    </row>
    <row r="16" spans="1:7" ht="14.25" customHeight="1">
      <c r="A16" s="77" t="s">
        <v>130</v>
      </c>
      <c r="B16" s="112">
        <f>B13/(B12+B13)</f>
        <v>0.35583799827012363</v>
      </c>
    </row>
    <row r="17" spans="1:2" ht="14.25" customHeight="1">
      <c r="A17" s="77"/>
      <c r="B17" s="83"/>
    </row>
    <row r="18" spans="1:2" ht="14.25" customHeight="1">
      <c r="A18" s="79" t="s">
        <v>119</v>
      </c>
      <c r="B18" s="86">
        <f>(B9*B15)+(B10*B16)</f>
        <v>6.4157453254576211E-2</v>
      </c>
    </row>
    <row r="19" spans="1:2" ht="14.25" customHeight="1"/>
    <row r="20" spans="1:2" ht="14.25" customHeight="1"/>
    <row r="21" spans="1:2" ht="14.25" customHeight="1"/>
    <row r="22" spans="1:2" ht="14.25" customHeight="1"/>
    <row r="23" spans="1:2" ht="14.25" customHeight="1"/>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1">
    <mergeCell ref="A1:G1"/>
  </mergeCells>
  <pageMargins left="0.7" right="0.7" top="0.75" bottom="0.75" header="0" footer="0"/>
  <pageSetup orientation="landscape"/>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
  <sheetViews>
    <sheetView tabSelected="1" workbookViewId="0">
      <selection activeCell="G8" sqref="G8"/>
    </sheetView>
  </sheetViews>
  <sheetFormatPr defaultColWidth="14.453125" defaultRowHeight="15" customHeight="1"/>
  <cols>
    <col min="1" max="1" width="25.08984375" customWidth="1"/>
    <col min="2" max="2" width="15.36328125" bestFit="1" customWidth="1"/>
    <col min="3" max="5" width="14.54296875" customWidth="1"/>
    <col min="6" max="11" width="8.7265625" customWidth="1"/>
  </cols>
  <sheetData>
    <row r="1" spans="1:7" ht="14.25" customHeight="1">
      <c r="A1" s="93" t="s">
        <v>131</v>
      </c>
      <c r="B1" s="89"/>
      <c r="C1" s="89"/>
      <c r="D1" s="89"/>
      <c r="E1" s="89"/>
      <c r="F1" s="89"/>
      <c r="G1" s="89"/>
    </row>
    <row r="2" spans="1:7" ht="14.25" customHeight="1"/>
    <row r="3" spans="1:7" ht="14.25" customHeight="1">
      <c r="A3" s="2" t="s">
        <v>1</v>
      </c>
      <c r="B3" s="59" t="s">
        <v>61</v>
      </c>
      <c r="C3" s="59" t="s">
        <v>62</v>
      </c>
      <c r="D3" s="59" t="s">
        <v>63</v>
      </c>
      <c r="E3" s="59" t="s">
        <v>64</v>
      </c>
    </row>
    <row r="4" spans="1:7" ht="14.25" customHeight="1">
      <c r="A4" t="s">
        <v>113</v>
      </c>
      <c r="B4" s="48">
        <f>'Cashflow Statement'!E21</f>
        <v>2041907.7666048352</v>
      </c>
      <c r="C4" s="48">
        <f>'Cashflow Statement'!F21</f>
        <v>3126088.3847159818</v>
      </c>
      <c r="D4" s="48">
        <f>'Cashflow Statement'!G21</f>
        <v>3918511.5160558298</v>
      </c>
      <c r="E4" s="48">
        <f>'Cashflow Statement'!H21</f>
        <v>4660888.0506672468</v>
      </c>
    </row>
    <row r="5" spans="1:7" ht="14.25" customHeight="1">
      <c r="A5" t="s">
        <v>132</v>
      </c>
      <c r="B5" s="116">
        <f>1/(1+WACC!$B$18)^B6</f>
        <v>0.93971056345246695</v>
      </c>
      <c r="C5" s="116">
        <f>1/(1+WACC!$B$18)^C6</f>
        <v>0.88305594306415292</v>
      </c>
      <c r="D5" s="116">
        <f>1/(1+WACC!$B$18)^D6</f>
        <v>0.8298169978168648</v>
      </c>
      <c r="E5" s="116">
        <f>1/(1+WACC!$B$18)^E6</f>
        <v>0.7797877985809204</v>
      </c>
      <c r="G5" s="115" t="s">
        <v>150</v>
      </c>
    </row>
    <row r="6" spans="1:7" ht="14.25" customHeight="1">
      <c r="A6" t="s">
        <v>133</v>
      </c>
      <c r="B6">
        <v>1</v>
      </c>
      <c r="C6">
        <v>2</v>
      </c>
      <c r="D6">
        <v>3</v>
      </c>
      <c r="E6">
        <v>4</v>
      </c>
    </row>
    <row r="7" spans="1:7" ht="14.25" customHeight="1"/>
    <row r="8" spans="1:7" ht="14.25" customHeight="1">
      <c r="A8" t="s">
        <v>134</v>
      </c>
      <c r="B8" s="48">
        <f t="shared" ref="B8:E8" si="0">B4*B5</f>
        <v>1918802.2978741981</v>
      </c>
      <c r="C8" s="48">
        <f t="shared" si="0"/>
        <v>2760510.9266672656</v>
      </c>
      <c r="D8" s="48">
        <f t="shared" si="0"/>
        <v>3251647.46216426</v>
      </c>
      <c r="E8" s="48">
        <f t="shared" si="0"/>
        <v>3634503.6324619297</v>
      </c>
    </row>
    <row r="9" spans="1:7" ht="14.25" customHeight="1"/>
    <row r="10" spans="1:7" ht="14.25" customHeight="1">
      <c r="A10" t="s">
        <v>135</v>
      </c>
      <c r="B10" s="48">
        <f>SUM(B8:E8)</f>
        <v>11565464.319167653</v>
      </c>
      <c r="C10" s="48"/>
      <c r="D10" s="48"/>
      <c r="E10" s="48"/>
    </row>
    <row r="11" spans="1:7" ht="14.25" customHeight="1">
      <c r="E11" s="87"/>
    </row>
    <row r="12" spans="1:7" ht="14.25" customHeight="1">
      <c r="A12" t="s">
        <v>136</v>
      </c>
      <c r="B12" s="48">
        <f>E4*(1+WACC!$B$3)/(WACC!$B$18-WACC!$B$3)</f>
        <v>99852068.66650489</v>
      </c>
      <c r="C12" s="48"/>
      <c r="D12" s="48"/>
      <c r="E12" s="48"/>
    </row>
    <row r="13" spans="1:7" ht="14.25" customHeight="1">
      <c r="A13" t="s">
        <v>137</v>
      </c>
      <c r="B13" s="48">
        <f>B12*$E$5</f>
        <v>77863424.809204742</v>
      </c>
      <c r="C13" s="48"/>
      <c r="D13" s="48"/>
      <c r="E13" s="48"/>
    </row>
    <row r="14" spans="1:7" ht="14.25" customHeight="1"/>
    <row r="15" spans="1:7" ht="14.25" customHeight="1">
      <c r="B15" s="87"/>
      <c r="D15" s="48"/>
      <c r="E15" s="46"/>
    </row>
    <row r="16" spans="1:7" ht="14.25" customHeight="1">
      <c r="A16" s="113" t="s">
        <v>138</v>
      </c>
      <c r="B16" s="114">
        <f>B13+B10</f>
        <v>89428889.128372401</v>
      </c>
      <c r="D16" s="46"/>
    </row>
    <row r="17" spans="1:4" ht="14.25" customHeight="1">
      <c r="A17" t="s">
        <v>128</v>
      </c>
      <c r="B17" s="48">
        <f>'Balance Sheet'!H23</f>
        <v>14209095</v>
      </c>
      <c r="D17" s="46"/>
    </row>
    <row r="18" spans="1:4" ht="14.25" customHeight="1">
      <c r="A18" t="s">
        <v>139</v>
      </c>
      <c r="B18" s="48">
        <f>'Balance Sheet'!H6</f>
        <v>18047199.552760962</v>
      </c>
      <c r="D18" s="46"/>
    </row>
    <row r="19" spans="1:4" ht="14.25" customHeight="1">
      <c r="A19" s="113" t="s">
        <v>140</v>
      </c>
      <c r="B19" s="114">
        <f>B16+B18-B17</f>
        <v>93266993.68113336</v>
      </c>
      <c r="D19" s="46"/>
    </row>
    <row r="20" spans="1:4" ht="14.25" customHeight="1"/>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1">
    <mergeCell ref="A1:G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P&amp;L Input</vt:lpstr>
      <vt:lpstr>Balance Sheet Input</vt:lpstr>
      <vt:lpstr>Revenue Modelling</vt:lpstr>
      <vt:lpstr>Other Items</vt:lpstr>
      <vt:lpstr>Schedules</vt:lpstr>
      <vt:lpstr>P&amp;L</vt:lpstr>
      <vt:lpstr>Balance Sheet</vt:lpstr>
      <vt:lpstr>Cashflow Statement</vt:lpstr>
      <vt:lpstr>WACC</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TUTEDUDE FMV ASSIGNMENT</dc:title>
  <dc:creator>sayamgudhka24@gmail.com</dc:creator>
  <cp:lastModifiedBy>Deepa Mishra</cp:lastModifiedBy>
  <dcterms:created xsi:type="dcterms:W3CDTF">2021-11-01T12:20:11Z</dcterms:created>
  <dcterms:modified xsi:type="dcterms:W3CDTF">2026-05-20T20:26:26Z</dcterms:modified>
</cp:coreProperties>
</file>